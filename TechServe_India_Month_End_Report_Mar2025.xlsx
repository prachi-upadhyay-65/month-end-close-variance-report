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l Balance" sheetId="1" state="visible" r:id="rId3"/>
    <sheet name="P&amp;L Statement" sheetId="2" state="visible" r:id="rId4"/>
    <sheet name="Budget vs Actuals" sheetId="3" state="visible" r:id="rId5"/>
    <sheet name="Close Checklist" sheetId="4" state="visible" r:id="rId6"/>
    <sheet name="Management Summary" sheetId="5" state="visible" r:id="rId7"/>
    <sheet name="6-Month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<sst xmlns="http://schemas.openxmlformats.org/spreadsheetml/2006/main" count="490" uniqueCount="369">
  <si>
    <t xml:space="preserve">TechServe India Pvt Ltd</t>
  </si>
  <si>
    <t xml:space="preserve">Trial Balance — Month Ended 31 March 2025</t>
  </si>
  <si>
    <t xml:space="preserve">Account Code</t>
  </si>
  <si>
    <t xml:space="preserve">Account Name</t>
  </si>
  <si>
    <t xml:space="preserve">Category</t>
  </si>
  <si>
    <t xml:space="preserve">Opening Balance (₹)</t>
  </si>
  <si>
    <t xml:space="preserve">Transactions (₹)</t>
  </si>
  <si>
    <t xml:space="preserve">Closing Balance (₹)</t>
  </si>
  <si>
    <t xml:space="preserve">Notes</t>
  </si>
  <si>
    <t xml:space="preserve">1001</t>
  </si>
  <si>
    <t xml:space="preserve">Cash &amp; Bank — HDFC Current A/c</t>
  </si>
  <si>
    <t xml:space="preserve">Current Asset</t>
  </si>
  <si>
    <t xml:space="preserve">Reconciled with bank statement</t>
  </si>
  <si>
    <t xml:space="preserve">1002</t>
  </si>
  <si>
    <t xml:space="preserve">Cash &amp; Bank — Petty Cash</t>
  </si>
  <si>
    <t xml:space="preserve">Petty cash vouchers verified</t>
  </si>
  <si>
    <t xml:space="preserve">1003</t>
  </si>
  <si>
    <t xml:space="preserve">Accounts Receivable</t>
  </si>
  <si>
    <t xml:space="preserve">Ageing reviewed; no new provisions</t>
  </si>
  <si>
    <t xml:space="preserve">1004</t>
  </si>
  <si>
    <t xml:space="preserve">Advance to Employees</t>
  </si>
  <si>
    <t xml:space="preserve">Recovery per HR schedule</t>
  </si>
  <si>
    <t xml:space="preserve">1005</t>
  </si>
  <si>
    <t xml:space="preserve">Prepaid Expenses</t>
  </si>
  <si>
    <t xml:space="preserve">Insurance &amp; subscriptions amortised</t>
  </si>
  <si>
    <t xml:space="preserve">1006</t>
  </si>
  <si>
    <t xml:space="preserve">GST Input Tax Credit Receivable</t>
  </si>
  <si>
    <t xml:space="preserve">Reconciled with GSTR-2B</t>
  </si>
  <si>
    <t xml:space="preserve">1007</t>
  </si>
  <si>
    <t xml:space="preserve">Property, Plant &amp; Equipment (Gross)</t>
  </si>
  <si>
    <t xml:space="preserve">Fixed Asset</t>
  </si>
  <si>
    <t xml:space="preserve">No additions this month</t>
  </si>
  <si>
    <t xml:space="preserve">1008</t>
  </si>
  <si>
    <t xml:space="preserve">Accumulated Depreciation</t>
  </si>
  <si>
    <t xml:space="preserve">Monthly dep. @ SLM rates</t>
  </si>
  <si>
    <t xml:space="preserve">1009</t>
  </si>
  <si>
    <t xml:space="preserve">Right-of-Use Asset (Leased Office)</t>
  </si>
  <si>
    <t xml:space="preserve">Ind AS 116 — lease amortisation</t>
  </si>
  <si>
    <t xml:space="preserve">2001</t>
  </si>
  <si>
    <t xml:space="preserve">Accounts Payable</t>
  </si>
  <si>
    <t xml:space="preserve">Current Liability</t>
  </si>
  <si>
    <t xml:space="preserve">Vendor invoices approved</t>
  </si>
  <si>
    <t xml:space="preserve">2002</t>
  </si>
  <si>
    <t xml:space="preserve">Salaries &amp; Bonus Payable</t>
  </si>
  <si>
    <t xml:space="preserve">March payroll processed 31-Mar</t>
  </si>
  <si>
    <t xml:space="preserve">2003</t>
  </si>
  <si>
    <t xml:space="preserve">GST Payable (Output)</t>
  </si>
  <si>
    <t xml:space="preserve">GSTR-1 filed; net liability confirmed</t>
  </si>
  <si>
    <t xml:space="preserve">2004</t>
  </si>
  <si>
    <t xml:space="preserve">TDS Payable</t>
  </si>
  <si>
    <t xml:space="preserve">Due for deposit by 7-Apr</t>
  </si>
  <si>
    <t xml:space="preserve">2005</t>
  </si>
  <si>
    <t xml:space="preserve">Advance from Customers</t>
  </si>
  <si>
    <t xml:space="preserve">Revenue recognised on milestone</t>
  </si>
  <si>
    <t xml:space="preserve">2006</t>
  </si>
  <si>
    <t xml:space="preserve">Lease Liability (Ind AS 116)</t>
  </si>
  <si>
    <t xml:space="preserve">Non-Curr. Liability</t>
  </si>
  <si>
    <t xml:space="preserve">Principal repayment per schedule</t>
  </si>
  <si>
    <t xml:space="preserve">2007</t>
  </si>
  <si>
    <t xml:space="preserve">Provision for Gratuity</t>
  </si>
  <si>
    <t xml:space="preserve">Actuarial estimate Q1 update</t>
  </si>
  <si>
    <t xml:space="preserve">3001</t>
  </si>
  <si>
    <t xml:space="preserve">Share Capital</t>
  </si>
  <si>
    <t xml:space="preserve">Equity</t>
  </si>
  <si>
    <t xml:space="preserve">10,000 shares @ ₹500 face</t>
  </si>
  <si>
    <t xml:space="preserve">3002</t>
  </si>
  <si>
    <t xml:space="preserve">Retained Earnings (Opening)</t>
  </si>
  <si>
    <t xml:space="preserve">As per audited FY24 balance sheet</t>
  </si>
  <si>
    <t xml:space="preserve">3003</t>
  </si>
  <si>
    <t xml:space="preserve">Current Year P&amp;L</t>
  </si>
  <si>
    <t xml:space="preserve">Net profit this month (auto-populated from P&amp;L)</t>
  </si>
  <si>
    <t xml:space="preserve">4001</t>
  </si>
  <si>
    <t xml:space="preserve">IT Services Revenue — Domestic</t>
  </si>
  <si>
    <t xml:space="preserve">Revenue</t>
  </si>
  <si>
    <t xml:space="preserve">3 client invoices raised</t>
  </si>
  <si>
    <t xml:space="preserve">4002</t>
  </si>
  <si>
    <t xml:space="preserve">IT Services Revenue — Export</t>
  </si>
  <si>
    <t xml:space="preserve">USD 49,500 @ ₹84.85 avg rate</t>
  </si>
  <si>
    <t xml:space="preserve">4003</t>
  </si>
  <si>
    <t xml:space="preserve">Software Licensing Revenue</t>
  </si>
  <si>
    <t xml:space="preserve">Annual license amortised monthly</t>
  </si>
  <si>
    <t xml:space="preserve">4004</t>
  </si>
  <si>
    <t xml:space="preserve">Consulting &amp; Advisory Fees</t>
  </si>
  <si>
    <t xml:space="preserve">2 retainer clients</t>
  </si>
  <si>
    <t xml:space="preserve">5001</t>
  </si>
  <si>
    <t xml:space="preserve">Cost of Delivery — Salaries</t>
  </si>
  <si>
    <t xml:space="preserve">COGS</t>
  </si>
  <si>
    <t xml:space="preserve">18 billable engineers + 3 PMs</t>
  </si>
  <si>
    <t xml:space="preserve">5002</t>
  </si>
  <si>
    <t xml:space="preserve">Subcontracting Charges</t>
  </si>
  <si>
    <t xml:space="preserve">Freelance dev engagement</t>
  </si>
  <si>
    <t xml:space="preserve">5003</t>
  </si>
  <si>
    <t xml:space="preserve">Cloud Infra &amp; Hosting (AWS/Azure)</t>
  </si>
  <si>
    <t xml:space="preserve">Monthly cloud bill</t>
  </si>
  <si>
    <t xml:space="preserve">5004</t>
  </si>
  <si>
    <t xml:space="preserve">Software Licenses (COGS)</t>
  </si>
  <si>
    <t xml:space="preserve">Per-seat client licenses</t>
  </si>
  <si>
    <t xml:space="preserve">6001</t>
  </si>
  <si>
    <t xml:space="preserve">Salaries — Support &amp; Admin</t>
  </si>
  <si>
    <t xml:space="preserve">Operating Expense</t>
  </si>
  <si>
    <t xml:space="preserve">8 support staff + 1 one-time bonus</t>
  </si>
  <si>
    <t xml:space="preserve">6002</t>
  </si>
  <si>
    <t xml:space="preserve">Rent — Bangalore HQ</t>
  </si>
  <si>
    <t xml:space="preserve">Per lease agreement</t>
  </si>
  <si>
    <t xml:space="preserve">6003</t>
  </si>
  <si>
    <t xml:space="preserve">Depreciation &amp; Amortisation</t>
  </si>
  <si>
    <t xml:space="preserve">PP&amp;E ₹350K + ROU asset ₹120K</t>
  </si>
  <si>
    <t xml:space="preserve">6004</t>
  </si>
  <si>
    <t xml:space="preserve">Internet &amp; Telecom</t>
  </si>
  <si>
    <t xml:space="preserve">Leased line + mobile</t>
  </si>
  <si>
    <t xml:space="preserve">6005</t>
  </si>
  <si>
    <t xml:space="preserve">Travel &amp; Conveyance</t>
  </si>
  <si>
    <t xml:space="preserve">Client visits + team offsite</t>
  </si>
  <si>
    <t xml:space="preserve">6006</t>
  </si>
  <si>
    <t xml:space="preserve">Marketing &amp; Business Dev</t>
  </si>
  <si>
    <t xml:space="preserve">LinkedIn ads + event sponsorship</t>
  </si>
  <si>
    <t xml:space="preserve">6007</t>
  </si>
  <si>
    <t xml:space="preserve">Professional Fees (Audit/Legal)</t>
  </si>
  <si>
    <t xml:space="preserve">Statutory audit Q4 fees</t>
  </si>
  <si>
    <t xml:space="preserve">6008</t>
  </si>
  <si>
    <t xml:space="preserve">Office &amp; Admin Expenses</t>
  </si>
  <si>
    <t xml:space="preserve">Stationery, utilities, housekeeping</t>
  </si>
  <si>
    <t xml:space="preserve">7001</t>
  </si>
  <si>
    <t xml:space="preserve">Other Income — Forex Gain</t>
  </si>
  <si>
    <t xml:space="preserve">Other Income</t>
  </si>
  <si>
    <t xml:space="preserve">Realised forex on USD receivables</t>
  </si>
  <si>
    <t xml:space="preserve">7002</t>
  </si>
  <si>
    <t xml:space="preserve">Bank Charges &amp; Interest</t>
  </si>
  <si>
    <t xml:space="preserve">Other Expense</t>
  </si>
  <si>
    <t xml:space="preserve">CC facility charges</t>
  </si>
  <si>
    <t xml:space="preserve">8001</t>
  </si>
  <si>
    <t xml:space="preserve">Income Tax Provision</t>
  </si>
  <si>
    <t xml:space="preserve">Tax</t>
  </si>
  <si>
    <t xml:space="preserve">25% of PBT estimate</t>
  </si>
  <si>
    <t xml:space="preserve">TOTAL (Debit = Credit check)</t>
  </si>
  <si>
    <t xml:space="preserve">Should be ₹0 if balanced</t>
  </si>
  <si>
    <t xml:space="preserve">Colour Legend — Finance Standard</t>
  </si>
  <si>
    <t xml:space="preserve">■ Blue text</t>
  </si>
  <si>
    <t xml:space="preserve">Hardcoded inputs</t>
  </si>
  <si>
    <t xml:space="preserve">■ Black text</t>
  </si>
  <si>
    <t xml:space="preserve">Formula / calculated</t>
  </si>
  <si>
    <t xml:space="preserve">■ Green text</t>
  </si>
  <si>
    <t xml:space="preserve">Cross-sheet link</t>
  </si>
  <si>
    <t xml:space="preserve">Statement of Profit &amp; Loss — Month Ended 31 March 2025</t>
  </si>
  <si>
    <t xml:space="preserve">Line Item</t>
  </si>
  <si>
    <t xml:space="preserve">Account Code(s)</t>
  </si>
  <si>
    <t xml:space="preserve">March 2025 (₹)</t>
  </si>
  <si>
    <t xml:space="preserve">% of Revenue</t>
  </si>
  <si>
    <t xml:space="preserve">I. REVENUE</t>
  </si>
  <si>
    <t xml:space="preserve">  IT Services Revenue — Domestic</t>
  </si>
  <si>
    <t xml:space="preserve">  IT Services Revenue — Export</t>
  </si>
  <si>
    <t xml:space="preserve">  Software Licensing Revenue</t>
  </si>
  <si>
    <t xml:space="preserve">  Consulting &amp; Advisory Fees</t>
  </si>
  <si>
    <t xml:space="preserve">TOTAL REVENUE</t>
  </si>
  <si>
    <t xml:space="preserve">II. COST OF GOODS SOLD (COGS)</t>
  </si>
  <si>
    <t xml:space="preserve">  Cost of Delivery — Salaries</t>
  </si>
  <si>
    <t xml:space="preserve">  Subcontracting Charges</t>
  </si>
  <si>
    <t xml:space="preserve">  Cloud Infra &amp; Hosting</t>
  </si>
  <si>
    <t xml:space="preserve">  Software Licenses (COGS)</t>
  </si>
  <si>
    <t xml:space="preserve">TOTAL COGS</t>
  </si>
  <si>
    <t xml:space="preserve">GROSS PROFIT</t>
  </si>
  <si>
    <t xml:space="preserve">Gross Margin %</t>
  </si>
  <si>
    <t xml:space="preserve">III. OPERATING EXPENSES (OPEX)</t>
  </si>
  <si>
    <t xml:space="preserve">  Salaries — Support &amp; Admin</t>
  </si>
  <si>
    <t xml:space="preserve">  Rent — Bangalore HQ</t>
  </si>
  <si>
    <t xml:space="preserve">  Depreciation &amp; Amortisation</t>
  </si>
  <si>
    <t xml:space="preserve">  Internet &amp; Telecom</t>
  </si>
  <si>
    <t xml:space="preserve">  Travel &amp; Conveyance</t>
  </si>
  <si>
    <t xml:space="preserve">  Marketing &amp; Business Dev</t>
  </si>
  <si>
    <t xml:space="preserve">  Professional Fees (Audit/Legal)</t>
  </si>
  <si>
    <t xml:space="preserve">  Office &amp; Admin Expenses</t>
  </si>
  <si>
    <t xml:space="preserve">TOTAL OPEX</t>
  </si>
  <si>
    <t xml:space="preserve">EBITDA</t>
  </si>
  <si>
    <t xml:space="preserve">EBITDA Margin %</t>
  </si>
  <si>
    <t xml:space="preserve">IV. OTHER INCOME / (EXPENSE)</t>
  </si>
  <si>
    <t xml:space="preserve">  Forex Gain (Realised)</t>
  </si>
  <si>
    <t xml:space="preserve">  Bank Charges &amp; Interest</t>
  </si>
  <si>
    <t xml:space="preserve">NET OTHER INCOME</t>
  </si>
  <si>
    <t xml:space="preserve">PROFIT BEFORE TAX (PBT)</t>
  </si>
  <si>
    <t xml:space="preserve">PBT Margin %</t>
  </si>
  <si>
    <t xml:space="preserve">  Income Tax Provision (25%)</t>
  </si>
  <si>
    <t xml:space="preserve">PROFIT AFTER TAX (PAT)</t>
  </si>
  <si>
    <t xml:space="preserve">PAT Margin %</t>
  </si>
  <si>
    <t xml:space="preserve">Budget vs Actuals — Month Ended 31 March 2025</t>
  </si>
  <si>
    <t xml:space="preserve">Favourable variances shown in GREEN   |   Unfavourable variances shown in RED</t>
  </si>
  <si>
    <t xml:space="preserve">#</t>
  </si>
  <si>
    <t xml:space="preserve">Budget (₹)</t>
  </si>
  <si>
    <t xml:space="preserve">Actuals (₹)</t>
  </si>
  <si>
    <t xml:space="preserve">Variance (₹)</t>
  </si>
  <si>
    <t xml:space="preserve">Variance (%)</t>
  </si>
  <si>
    <t xml:space="preserve">Analyst Commentary</t>
  </si>
  <si>
    <t xml:space="preserve">Total Revenue</t>
  </si>
  <si>
    <t xml:space="preserve">Revenue ₹3.5L below budget; export billing delayed by 2 days into April — timing difference, not a loss.</t>
  </si>
  <si>
    <t xml:space="preserve">₹2.0L over budget due to one additional contract engineer onboarded mid-month; approved by CTO.</t>
  </si>
  <si>
    <t xml:space="preserve">₹1.5L adverse; escalated to vendor — dispute on scope creep; credit note expected in April.</t>
  </si>
  <si>
    <t xml:space="preserve">Cloud Infra &amp; Hosting</t>
  </si>
  <si>
    <t xml:space="preserve">₹0.7L over; spike in AWS data-transfer costs linked to client UAT load testing — non-recurring.</t>
  </si>
  <si>
    <t xml:space="preserve">Gross Profit</t>
  </si>
  <si>
    <t xml:space="preserve">GP ₹7.7L below budget; driven by revenue shortfall + cost overruns above. Margin at 56.1% vs 60.4% budgeted.</t>
  </si>
  <si>
    <t xml:space="preserve">₹1.5L over budget; one-time retention bonus paid to two senior analysts per MD approval on 28-Mar.</t>
  </si>
  <si>
    <t xml:space="preserve">₹0.4L over; senior BD team attended ISC West conference in Mumbai — pipeline impact: 2 RFPs received.</t>
  </si>
  <si>
    <t xml:space="preserve">₹0.25L favourable; LinkedIn campaign paused mid-month for creative refresh; spend resumes in April.</t>
  </si>
  <si>
    <t xml:space="preserve">EBITDA 14% below budget; combination of revenue delay + salary overrun. Management action required on Q1 close.</t>
  </si>
  <si>
    <t xml:space="preserve">₹0.38L favourable; lower PBT vs budget results in reduced provision. Advance tax deposit adjusted accordingly.</t>
  </si>
  <si>
    <t xml:space="preserve">Profit After Tax (PAT)</t>
  </si>
  <si>
    <t xml:space="preserve">PAT ₹2.2L below budget (18.3% adverse). Primary drivers: ① revenue timing ② retention bonus. Both one-time.</t>
  </si>
  <si>
    <t xml:space="preserve">Month-End Close Checklist — March 2025</t>
  </si>
  <si>
    <t xml:space="preserve">Close Task</t>
  </si>
  <si>
    <t xml:space="preserve">Owner</t>
  </si>
  <si>
    <t xml:space="preserve">Target Date</t>
  </si>
  <si>
    <t xml:space="preserve">Status</t>
  </si>
  <si>
    <t xml:space="preserve">Notes / Evidence</t>
  </si>
  <si>
    <t xml:space="preserve">Obtain bank statement — HDFC Current A/c</t>
  </si>
  <si>
    <t xml:space="preserve">Finance Analyst</t>
  </si>
  <si>
    <t xml:space="preserve">28-Mar</t>
  </si>
  <si>
    <t xml:space="preserve">✅ Complete</t>
  </si>
  <si>
    <t xml:space="preserve">Statement downloaded; matched to GL balance ₹1,17,05,000</t>
  </si>
  <si>
    <t xml:space="preserve">Perform bank reconciliation — HDFC Current A/c</t>
  </si>
  <si>
    <t xml:space="preserve">29-Mar</t>
  </si>
  <si>
    <t xml:space="preserve">2 timing differences identified; cleared by 31-Mar</t>
  </si>
  <si>
    <t xml:space="preserve">Post month-end accruals (salaries, rent, utilities)</t>
  </si>
  <si>
    <t xml:space="preserve">31-Mar</t>
  </si>
  <si>
    <t xml:space="preserve">JV #MAR-2025-001 posted; approved by Finance Manager</t>
  </si>
  <si>
    <t xml:space="preserve">Post depreciation journal entry</t>
  </si>
  <si>
    <t xml:space="preserve">PP&amp;E ₹3.50L + ROU asset ₹1.20L — as per asset register</t>
  </si>
  <si>
    <t xml:space="preserve">Confirm revenue recognition — domestic invoices</t>
  </si>
  <si>
    <t xml:space="preserve">AR Analyst</t>
  </si>
  <si>
    <t xml:space="preserve">3 invoices confirmed; milestones sign-off from PMs received</t>
  </si>
  <si>
    <t xml:space="preserve">Confirm revenue recognition — export (forex)</t>
  </si>
  <si>
    <t xml:space="preserve">USD 49,500 converted @ RBI rate ₹84.85; bank advice on file</t>
  </si>
  <si>
    <t xml:space="preserve">Review open Purchase Orders &gt; ₹50,000</t>
  </si>
  <si>
    <t xml:space="preserve">Procurement Lead</t>
  </si>
  <si>
    <t xml:space="preserve">4 POs reviewed; 1 PO for ₹1.8L accrued; vendor confirmation awaited</t>
  </si>
  <si>
    <t xml:space="preserve">Confirm GST Output Tax Liability (GSTR-1)</t>
  </si>
  <si>
    <t xml:space="preserve">Tax Analyst</t>
  </si>
  <si>
    <t xml:space="preserve">GSTR-1 auto-populated; output tax ₹13.50L reconciled with GL</t>
  </si>
  <si>
    <t xml:space="preserve">Reconcile GST Input Credit (GSTR-2B vs GL)</t>
  </si>
  <si>
    <t xml:space="preserve">ITC ₹12.00L + ₹3.50L new — mismatch of ₹18K flagged to vendor</t>
  </si>
  <si>
    <t xml:space="preserve">TDS deducted and payable confirmed</t>
  </si>
  <si>
    <t xml:space="preserve">TDS ₹2.80L payable; challan to be filed by 7-Apr</t>
  </si>
  <si>
    <t xml:space="preserve">Review advance from customers — revenue recognition</t>
  </si>
  <si>
    <t xml:space="preserve">Finance Manager</t>
  </si>
  <si>
    <t xml:space="preserve">₹5.00L milestone revenue recognised from advance account</t>
  </si>
  <si>
    <t xml:space="preserve">Intercompany reconciliation (if applicable)</t>
  </si>
  <si>
    <t xml:space="preserve">N/A</t>
  </si>
  <si>
    <t xml:space="preserve">No interco transactions this month</t>
  </si>
  <si>
    <t xml:space="preserve">Provision for doubtful debts review</t>
  </si>
  <si>
    <t xml:space="preserve">30-Mar</t>
  </si>
  <si>
    <t xml:space="preserve">AR ageing reviewed; no new provisions required for March</t>
  </si>
  <si>
    <t xml:space="preserve">Gratuity provision update (actuarial Q1)</t>
  </si>
  <si>
    <t xml:space="preserve">HR / Finance</t>
  </si>
  <si>
    <t xml:space="preserve">Q1 estimate ₹1.50L posted per actuary report dated 28-Feb</t>
  </si>
  <si>
    <t xml:space="preserve">Payroll reconciliation — March salary register</t>
  </si>
  <si>
    <t xml:space="preserve">HR / Payroll</t>
  </si>
  <si>
    <t xml:space="preserve">Gross pay ₹56.50L; net payable ₹42.00L after TDS/PF — GL matches</t>
  </si>
  <si>
    <t xml:space="preserve">Review travel &amp; expense claims (T&amp;E)</t>
  </si>
  <si>
    <t xml:space="preserve">12 expense reports approved; 1 claim of ₹12,000 pending CFO</t>
  </si>
  <si>
    <t xml:space="preserve">Confirm all vendor invoices posted (AP cut-off)</t>
  </si>
  <si>
    <t xml:space="preserve">AP Analyst</t>
  </si>
  <si>
    <t xml:space="preserve">Cut-off enforced; 2 late invoices accrued per AP policy</t>
  </si>
  <si>
    <t xml:space="preserve">Final trial balance review — debit/credit balance</t>
  </si>
  <si>
    <t xml:space="preserve">TB balanced at ₹0; no unexplained differences</t>
  </si>
  <si>
    <t xml:space="preserve">Prepare preliminary P&amp;L and share with CFO</t>
  </si>
  <si>
    <t xml:space="preserve">01-Apr</t>
  </si>
  <si>
    <t xml:space="preserve">Draft P&amp;L emailed to CFO at 09:30 on 1-Apr</t>
  </si>
  <si>
    <t xml:space="preserve">CFO sign-off on month-end close</t>
  </si>
  <si>
    <t xml:space="preserve">CFO</t>
  </si>
  <si>
    <t xml:space="preserve">02-Apr</t>
  </si>
  <si>
    <t xml:space="preserve">Signed off via email confirmation 2-Apr 11:45 AM</t>
  </si>
  <si>
    <t xml:space="preserve">Lock accounting period in ERP (SAP / Tally Prime)</t>
  </si>
  <si>
    <t xml:space="preserve">March 2025 period locked in Tally Prime; no backdating possible</t>
  </si>
  <si>
    <t xml:space="preserve">Archive close documents to SharePoint</t>
  </si>
  <si>
    <t xml:space="preserve">03-Apr</t>
  </si>
  <si>
    <t xml:space="preserve">All JVs, bank statements, approvals archived under /Finance/Close/Mar25</t>
  </si>
  <si>
    <t xml:space="preserve">Issue management P&amp;L pack to leadership</t>
  </si>
  <si>
    <t xml:space="preserve">Pack circulated to CEO, CFO, and department heads on 3-Apr</t>
  </si>
  <si>
    <t xml:space="preserve">Close Completion: 22/23 tasks ✅</t>
  </si>
  <si>
    <t xml:space="preserve">TechServe India Pvt Ltd  |  Monthly Management Report  |  March 2025</t>
  </si>
  <si>
    <t xml:space="preserve">Prepared by: Finance Operations Team  |  Distribution: CFO, CEO, Department Heads  |  Classification: Confidential</t>
  </si>
  <si>
    <t xml:space="preserve">KEY PERFORMANCE INDICATORS — MARCH 2025</t>
  </si>
  <si>
    <t xml:space="preserve">KPI</t>
  </si>
  <si>
    <t xml:space="preserve">Budget</t>
  </si>
  <si>
    <t xml:space="preserve">Actuals</t>
  </si>
  <si>
    <t xml:space="preserve">Variance</t>
  </si>
  <si>
    <t xml:space="preserve">Total Revenue (₹)</t>
  </si>
  <si>
    <t xml:space="preserve">₹1,35,00,000</t>
  </si>
  <si>
    <t xml:space="preserve">₹1,31,50,000</t>
  </si>
  <si>
    <t xml:space="preserve">▼ ₹3,50,000 (2.6%)</t>
  </si>
  <si>
    <t xml:space="preserve">🟡 Near Miss</t>
  </si>
  <si>
    <t xml:space="preserve">Gross Profit Margin</t>
  </si>
  <si>
    <t xml:space="preserve">60.4%</t>
  </si>
  <si>
    <t xml:space="preserve">56.1%</t>
  </si>
  <si>
    <t xml:space="preserve">▼ 4.3 pp</t>
  </si>
  <si>
    <t xml:space="preserve">🔴 Below Target</t>
  </si>
  <si>
    <t xml:space="preserve">EBITDA Margin</t>
  </si>
  <si>
    <t xml:space="preserve">49.3%</t>
  </si>
  <si>
    <t xml:space="preserve">43.5%</t>
  </si>
  <si>
    <t xml:space="preserve">▼ 5.8 pp</t>
  </si>
  <si>
    <t xml:space="preserve">PAT (₹)</t>
  </si>
  <si>
    <t xml:space="preserve">₹12,00,000</t>
  </si>
  <si>
    <t xml:space="preserve">₹9,80,000</t>
  </si>
  <si>
    <t xml:space="preserve">▼ ₹2,20,000 (18.3%)</t>
  </si>
  <si>
    <t xml:space="preserve">Headcount (Billable)</t>
  </si>
  <si>
    <t xml:space="preserve">21</t>
  </si>
  <si>
    <t xml:space="preserve">22</t>
  </si>
  <si>
    <t xml:space="preserve">▲ 1 (contract hire)</t>
  </si>
  <si>
    <t xml:space="preserve">🟡 Approved</t>
  </si>
  <si>
    <t xml:space="preserve">DSO (Days Sales Outst.)</t>
  </si>
  <si>
    <t xml:space="preserve">45 days</t>
  </si>
  <si>
    <t xml:space="preserve">51 days</t>
  </si>
  <si>
    <t xml:space="preserve">▲ 6 days</t>
  </si>
  <si>
    <t xml:space="preserve">🔴 Watch List</t>
  </si>
  <si>
    <t xml:space="preserve">Close Cycle Time</t>
  </si>
  <si>
    <t xml:space="preserve">T+3 days</t>
  </si>
  <si>
    <t xml:space="preserve">T+2 days</t>
  </si>
  <si>
    <t xml:space="preserve">▲ 1 day ahead</t>
  </si>
  <si>
    <t xml:space="preserve">🟢 Excellent</t>
  </si>
  <si>
    <t xml:space="preserve">3 KEY TAKEAWAYS FOR MANAGEMENT — MARCH 2025</t>
  </si>
  <si>
    <t xml:space="preserve">  TAKEAWAY 1:  Revenue Shortfall is Timing, Not Demand</t>
  </si>
  <si>
    <t xml:space="preserve">Export revenue of ₹4.20L was delayed by 2 business days (invoiced 1-Apr) due to client approval cycles. Domestic pipeline remains strong with 3 active RFPs worth ₹48L. Recommend: tighten billing calendar — all invoices to be raised by 25th of each month.</t>
  </si>
  <si>
    <t xml:space="preserve">  TAKEAWAY 2:  Salary Cost Overrun Requires Structural Fix</t>
  </si>
  <si>
    <t xml:space="preserve">Total salary cost (delivery + admin) exceeded budget by ₹3.50L (approx. 8%). One-time retention bonus (₹2.0L) and mid-month contract hire (₹2.0L) were both management-approved but not reflected in the budget. Recommend: introduce a supplementary budget approval process for off-cycle hires and bonuses to maintain forecast accuracy.</t>
  </si>
  <si>
    <t xml:space="preserve">  TAKEAWAY 3:  DSO Deterioration Needs Immediate AR Action</t>
  </si>
  <si>
    <t xml:space="preserve">Days Sales Outstanding has stretched to 51 days vs 45-day target — a 13% increase. Top 2 customers (representing ₹9.2L of AR) have payments overdue by 18–22 days. Recommend: Finance Analyst to issue formal dunning letters by 5-Apr; escalate to BD if no response within 7 days.</t>
  </si>
  <si>
    <t xml:space="preserve">CFO ACTION ITEMS — APRIL 2025</t>
  </si>
  <si>
    <t xml:space="preserve">Action Required</t>
  </si>
  <si>
    <t xml:space="preserve">Due Date</t>
  </si>
  <si>
    <t xml:space="preserve">1</t>
  </si>
  <si>
    <t xml:space="preserve">Approve supplementary budget for Q1 contract hires — ₹6.0L allocation requested</t>
  </si>
  <si>
    <t xml:space="preserve">10-Apr</t>
  </si>
  <si>
    <t xml:space="preserve">2</t>
  </si>
  <si>
    <t xml:space="preserve">Review and sign DSO escalation letter to Top 2 customers</t>
  </si>
  <si>
    <t xml:space="preserve">CFO / BD Head</t>
  </si>
  <si>
    <t xml:space="preserve">05-Apr</t>
  </si>
  <si>
    <t xml:space="preserve">3</t>
  </si>
  <si>
    <t xml:space="preserve">Approve advance tax deposit challan — ₹2.80L TDS payable</t>
  </si>
  <si>
    <t xml:space="preserve">07-Apr</t>
  </si>
  <si>
    <t xml:space="preserve">4</t>
  </si>
  <si>
    <t xml:space="preserve">Greenlight FY26 salary revision projections for budget reforecast</t>
  </si>
  <si>
    <t xml:space="preserve">CFO / HR</t>
  </si>
  <si>
    <t xml:space="preserve">15-Apr</t>
  </si>
  <si>
    <t xml:space="preserve">5</t>
  </si>
  <si>
    <t xml:space="preserve">Resolve GST ITC mismatch of ₹18,000 — vendor clarification pending</t>
  </si>
  <si>
    <t xml:space="preserve">12-Apr</t>
  </si>
  <si>
    <t xml:space="preserve">TechServe India Pvt Ltd — 6-Month Financial Trend (Oct 2024 – Mar 2025)</t>
  </si>
  <si>
    <t xml:space="preserve">Metric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</si>
  <si>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</si>
  <si>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</si>
  <si>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</si>
  <si>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</si>
  <si>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</si>
  <si>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</si>
  <si>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Trend</t>
  </si>
  <si>
    <t xml:space="preserve">Revenue (₹)</t>
  </si>
  <si>
    <t xml:space="preserve">▼ -4.7%</t>
  </si>
  <si>
    <t xml:space="preserve">Gross Profit (₹)</t>
  </si>
  <si>
    <t xml:space="preserve">▼ -12.3%</t>
  </si>
  <si>
    <t xml:space="preserve">▼ -4.9pp</t>
  </si>
  <si>
    <t xml:space="preserve">EBITDA (₹)</t>
  </si>
  <si>
    <t xml:space="preserve">▼ -13.7%</t>
  </si>
  <si>
    <t xml:space="preserve">▼ -4.5pp</t>
  </si>
  <si>
    <t xml:space="preserve">▼ -29.0%</t>
  </si>
  <si>
    <t xml:space="preserve">▼ -2.5pp</t>
  </si>
  <si>
    <t xml:space="preserve">Headcount (Total)</t>
  </si>
  <si>
    <t xml:space="preserve">▲ +3.2%</t>
  </si>
  <si>
    <t xml:space="preserve">Revenue per Head (₹)</t>
  </si>
  <si>
    <t xml:space="preserve">▼ -7.7%</t>
  </si>
  <si>
    <t xml:space="preserve">DSO (Days)</t>
  </si>
  <si>
    <t xml:space="preserve">▲ +13.3%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</si>
</sst>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44"/>
    <col collapsed="false" customWidth="true" hidden="false" outlineLevel="0" max="6" min="3" style="1" width="22"/>
    <col collapsed="false" customWidth="true" hidden="false" outlineLevel="0" max="7" min="7" style="1" width="3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s">
        <v>10</v>
      </c>
      <c r="C5" s="5" t="s">
        <v>11</v>
      </c>
      <c r="D5" s="7" t="n">
        <v>8500000</v>
      </c>
      <c r="E5" s="7" t="n">
        <v>3200000</v>
      </c>
      <c r="F5" s="8" t="n">
        <f aca="false">D5+E5</f>
        <v>11700000</v>
      </c>
      <c r="G5" s="6" t="s">
        <v>12</v>
      </c>
    </row>
    <row r="6" customFormat="false" ht="15" hidden="false" customHeight="true" outlineLevel="0" collapsed="false">
      <c r="A6" s="9" t="s">
        <v>13</v>
      </c>
      <c r="B6" s="10" t="s">
        <v>14</v>
      </c>
      <c r="C6" s="9" t="s">
        <v>11</v>
      </c>
      <c r="D6" s="11" t="n">
        <v>150000</v>
      </c>
      <c r="E6" s="11" t="n">
        <v>-45000</v>
      </c>
      <c r="F6" s="12" t="n">
        <f aca="false">D6+E6</f>
        <v>105000</v>
      </c>
      <c r="G6" s="10" t="s">
        <v>15</v>
      </c>
    </row>
    <row r="7" customFormat="false" ht="15" hidden="false" customHeight="true" outlineLevel="0" collapsed="false">
      <c r="A7" s="5" t="s">
        <v>16</v>
      </c>
      <c r="B7" s="6" t="s">
        <v>17</v>
      </c>
      <c r="C7" s="5" t="s">
        <v>11</v>
      </c>
      <c r="D7" s="7" t="n">
        <v>18700000</v>
      </c>
      <c r="E7" s="7" t="n">
        <v>4600000</v>
      </c>
      <c r="F7" s="8" t="n">
        <f aca="false">D7+E7</f>
        <v>23300000</v>
      </c>
      <c r="G7" s="6" t="s">
        <v>18</v>
      </c>
    </row>
    <row r="8" customFormat="false" ht="15" hidden="false" customHeight="true" outlineLevel="0" collapsed="false">
      <c r="A8" s="9" t="s">
        <v>19</v>
      </c>
      <c r="B8" s="10" t="s">
        <v>20</v>
      </c>
      <c r="C8" s="9" t="s">
        <v>11</v>
      </c>
      <c r="D8" s="11" t="n">
        <v>320000</v>
      </c>
      <c r="E8" s="11" t="n">
        <v>-80000</v>
      </c>
      <c r="F8" s="12" t="n">
        <f aca="false">D8+E8</f>
        <v>240000</v>
      </c>
      <c r="G8" s="10" t="s">
        <v>21</v>
      </c>
    </row>
    <row r="9" customFormat="false" ht="15" hidden="false" customHeight="true" outlineLevel="0" collapsed="false">
      <c r="A9" s="5" t="s">
        <v>22</v>
      </c>
      <c r="B9" s="6" t="s">
        <v>23</v>
      </c>
      <c r="C9" s="5" t="s">
        <v>11</v>
      </c>
      <c r="D9" s="7" t="n">
        <v>900000</v>
      </c>
      <c r="E9" s="7" t="n">
        <v>-150000</v>
      </c>
      <c r="F9" s="8" t="n">
        <f aca="false">D9+E9</f>
        <v>750000</v>
      </c>
      <c r="G9" s="6" t="s">
        <v>24</v>
      </c>
    </row>
    <row r="10" customFormat="false" ht="15" hidden="false" customHeight="true" outlineLevel="0" collapsed="false">
      <c r="A10" s="9" t="s">
        <v>25</v>
      </c>
      <c r="B10" s="10" t="s">
        <v>26</v>
      </c>
      <c r="C10" s="9" t="s">
        <v>11</v>
      </c>
      <c r="D10" s="11" t="n">
        <v>1200000</v>
      </c>
      <c r="E10" s="11" t="n">
        <v>350000</v>
      </c>
      <c r="F10" s="12" t="n">
        <f aca="false">D10+E10</f>
        <v>1550000</v>
      </c>
      <c r="G10" s="10" t="s">
        <v>27</v>
      </c>
    </row>
    <row r="11" customFormat="false" ht="15" hidden="false" customHeight="true" outlineLevel="0" collapsed="false">
      <c r="A11" s="5" t="s">
        <v>28</v>
      </c>
      <c r="B11" s="6" t="s">
        <v>29</v>
      </c>
      <c r="C11" s="5" t="s">
        <v>30</v>
      </c>
      <c r="D11" s="7" t="n">
        <v>42000000</v>
      </c>
      <c r="E11" s="7" t="n">
        <v>0</v>
      </c>
      <c r="F11" s="8" t="n">
        <f aca="false">D11+E11</f>
        <v>42000000</v>
      </c>
      <c r="G11" s="6" t="s">
        <v>31</v>
      </c>
    </row>
    <row r="12" customFormat="false" ht="15" hidden="false" customHeight="true" outlineLevel="0" collapsed="false">
      <c r="A12" s="9" t="s">
        <v>32</v>
      </c>
      <c r="B12" s="10" t="s">
        <v>33</v>
      </c>
      <c r="C12" s="9" t="s">
        <v>30</v>
      </c>
      <c r="D12" s="11" t="n">
        <v>-12500000</v>
      </c>
      <c r="E12" s="11" t="n">
        <v>-350000</v>
      </c>
      <c r="F12" s="12" t="n">
        <f aca="false">D12+E12</f>
        <v>-12850000</v>
      </c>
      <c r="G12" s="10" t="s">
        <v>34</v>
      </c>
    </row>
    <row r="13" customFormat="false" ht="15" hidden="false" customHeight="true" outlineLevel="0" collapsed="false">
      <c r="A13" s="5" t="s">
        <v>35</v>
      </c>
      <c r="B13" s="6" t="s">
        <v>36</v>
      </c>
      <c r="C13" s="5" t="s">
        <v>30</v>
      </c>
      <c r="D13" s="7" t="n">
        <v>6800000</v>
      </c>
      <c r="E13" s="7" t="n">
        <v>-120000</v>
      </c>
      <c r="F13" s="8" t="n">
        <f aca="false">D13+E13</f>
        <v>6680000</v>
      </c>
      <c r="G13" s="6" t="s">
        <v>37</v>
      </c>
    </row>
    <row r="14" customFormat="false" ht="15" hidden="false" customHeight="true" outlineLevel="0" collapsed="false">
      <c r="A14" s="9" t="s">
        <v>38</v>
      </c>
      <c r="B14" s="10" t="s">
        <v>39</v>
      </c>
      <c r="C14" s="9" t="s">
        <v>40</v>
      </c>
      <c r="D14" s="11" t="n">
        <v>-4200000</v>
      </c>
      <c r="E14" s="11" t="n">
        <v>-680000</v>
      </c>
      <c r="F14" s="12" t="n">
        <f aca="false">D14+E14</f>
        <v>-4880000</v>
      </c>
      <c r="G14" s="10" t="s">
        <v>41</v>
      </c>
    </row>
    <row r="15" customFormat="false" ht="15" hidden="false" customHeight="true" outlineLevel="0" collapsed="false">
      <c r="A15" s="5" t="s">
        <v>42</v>
      </c>
      <c r="B15" s="6" t="s">
        <v>43</v>
      </c>
      <c r="C15" s="5" t="s">
        <v>40</v>
      </c>
      <c r="D15" s="7" t="n">
        <v>-1800000</v>
      </c>
      <c r="E15" s="7" t="n">
        <v>-2850000</v>
      </c>
      <c r="F15" s="8" t="n">
        <f aca="false">D15+E15</f>
        <v>-4650000</v>
      </c>
      <c r="G15" s="6" t="s">
        <v>44</v>
      </c>
    </row>
    <row r="16" customFormat="false" ht="15" hidden="false" customHeight="true" outlineLevel="0" collapsed="false">
      <c r="A16" s="9" t="s">
        <v>45</v>
      </c>
      <c r="B16" s="10" t="s">
        <v>46</v>
      </c>
      <c r="C16" s="9" t="s">
        <v>40</v>
      </c>
      <c r="D16" s="11" t="n">
        <v>-2100000</v>
      </c>
      <c r="E16" s="11" t="n">
        <v>-1350000</v>
      </c>
      <c r="F16" s="12" t="n">
        <f aca="false">D16+E16</f>
        <v>-3450000</v>
      </c>
      <c r="G16" s="10" t="s">
        <v>47</v>
      </c>
    </row>
    <row r="17" customFormat="false" ht="15" hidden="false" customHeight="true" outlineLevel="0" collapsed="false">
      <c r="A17" s="5" t="s">
        <v>48</v>
      </c>
      <c r="B17" s="6" t="s">
        <v>49</v>
      </c>
      <c r="C17" s="5" t="s">
        <v>40</v>
      </c>
      <c r="D17" s="7" t="n">
        <v>-420000</v>
      </c>
      <c r="E17" s="7" t="n">
        <v>-280000</v>
      </c>
      <c r="F17" s="8" t="n">
        <f aca="false">D17+E17</f>
        <v>-700000</v>
      </c>
      <c r="G17" s="6" t="s">
        <v>50</v>
      </c>
    </row>
    <row r="18" customFormat="false" ht="15" hidden="false" customHeight="true" outlineLevel="0" collapsed="false">
      <c r="A18" s="9" t="s">
        <v>51</v>
      </c>
      <c r="B18" s="10" t="s">
        <v>52</v>
      </c>
      <c r="C18" s="9" t="s">
        <v>40</v>
      </c>
      <c r="D18" s="11" t="n">
        <v>-3500000</v>
      </c>
      <c r="E18" s="11" t="n">
        <v>500000</v>
      </c>
      <c r="F18" s="12" t="n">
        <f aca="false">D18+E18</f>
        <v>-3000000</v>
      </c>
      <c r="G18" s="10" t="s">
        <v>53</v>
      </c>
    </row>
    <row r="19" customFormat="false" ht="15" hidden="false" customHeight="true" outlineLevel="0" collapsed="false">
      <c r="A19" s="5" t="s">
        <v>54</v>
      </c>
      <c r="B19" s="6" t="s">
        <v>55</v>
      </c>
      <c r="C19" s="5" t="s">
        <v>56</v>
      </c>
      <c r="D19" s="7" t="n">
        <v>-5900000</v>
      </c>
      <c r="E19" s="7" t="n">
        <v>120000</v>
      </c>
      <c r="F19" s="8" t="n">
        <f aca="false">D19+E19</f>
        <v>-5780000</v>
      </c>
      <c r="G19" s="6" t="s">
        <v>57</v>
      </c>
    </row>
    <row r="20" customFormat="false" ht="15" hidden="false" customHeight="true" outlineLevel="0" collapsed="false">
      <c r="A20" s="9" t="s">
        <v>58</v>
      </c>
      <c r="B20" s="10" t="s">
        <v>59</v>
      </c>
      <c r="C20" s="9" t="s">
        <v>56</v>
      </c>
      <c r="D20" s="11" t="n">
        <v>-1100000</v>
      </c>
      <c r="E20" s="11" t="n">
        <v>-150000</v>
      </c>
      <c r="F20" s="12" t="n">
        <f aca="false">D20+E20</f>
        <v>-1250000</v>
      </c>
      <c r="G20" s="10" t="s">
        <v>60</v>
      </c>
    </row>
    <row r="21" customFormat="false" ht="15" hidden="false" customHeight="true" outlineLevel="0" collapsed="false">
      <c r="A21" s="5" t="s">
        <v>61</v>
      </c>
      <c r="B21" s="6" t="s">
        <v>62</v>
      </c>
      <c r="C21" s="5" t="s">
        <v>63</v>
      </c>
      <c r="D21" s="7" t="n">
        <v>-5000000</v>
      </c>
      <c r="E21" s="7" t="n">
        <v>0</v>
      </c>
      <c r="F21" s="8" t="n">
        <f aca="false">D21+E21</f>
        <v>-5000000</v>
      </c>
      <c r="G21" s="6" t="s">
        <v>64</v>
      </c>
    </row>
    <row r="22" customFormat="false" ht="15" hidden="false" customHeight="true" outlineLevel="0" collapsed="false">
      <c r="A22" s="9" t="s">
        <v>65</v>
      </c>
      <c r="B22" s="10" t="s">
        <v>66</v>
      </c>
      <c r="C22" s="9" t="s">
        <v>63</v>
      </c>
      <c r="D22" s="11" t="n">
        <v>-42350000</v>
      </c>
      <c r="E22" s="11" t="n">
        <v>0</v>
      </c>
      <c r="F22" s="12" t="n">
        <f aca="false">D22+E22</f>
        <v>-42350000</v>
      </c>
      <c r="G22" s="10" t="s">
        <v>67</v>
      </c>
    </row>
    <row r="23" customFormat="false" ht="15" hidden="false" customHeight="true" outlineLevel="0" collapsed="false">
      <c r="A23" s="5" t="s">
        <v>68</v>
      </c>
      <c r="B23" s="6" t="s">
        <v>69</v>
      </c>
      <c r="C23" s="5" t="s">
        <v>63</v>
      </c>
      <c r="D23" s="7" t="n">
        <v>0</v>
      </c>
      <c r="E23" s="7" t="n">
        <v>-980000</v>
      </c>
      <c r="F23" s="8" t="n">
        <f aca="false">D23+E23</f>
        <v>-980000</v>
      </c>
      <c r="G23" s="6" t="s">
        <v>70</v>
      </c>
    </row>
    <row r="24" customFormat="false" ht="15" hidden="false" customHeight="true" outlineLevel="0" collapsed="false">
      <c r="A24" s="9" t="s">
        <v>71</v>
      </c>
      <c r="B24" s="10" t="s">
        <v>72</v>
      </c>
      <c r="C24" s="9" t="s">
        <v>73</v>
      </c>
      <c r="D24" s="11" t="n">
        <v>0</v>
      </c>
      <c r="E24" s="11" t="n">
        <v>-7500000</v>
      </c>
      <c r="F24" s="12" t="n">
        <f aca="false">D24+E24</f>
        <v>-7500000</v>
      </c>
      <c r="G24" s="10" t="s">
        <v>74</v>
      </c>
    </row>
    <row r="25" customFormat="false" ht="15" hidden="false" customHeight="true" outlineLevel="0" collapsed="false">
      <c r="A25" s="5" t="s">
        <v>75</v>
      </c>
      <c r="B25" s="6" t="s">
        <v>76</v>
      </c>
      <c r="C25" s="5" t="s">
        <v>73</v>
      </c>
      <c r="D25" s="7" t="n">
        <v>0</v>
      </c>
      <c r="E25" s="7" t="n">
        <v>-4200000</v>
      </c>
      <c r="F25" s="8" t="n">
        <f aca="false">D25+E25</f>
        <v>-4200000</v>
      </c>
      <c r="G25" s="6" t="s">
        <v>77</v>
      </c>
    </row>
    <row r="26" customFormat="false" ht="15" hidden="false" customHeight="true" outlineLevel="0" collapsed="false">
      <c r="A26" s="9" t="s">
        <v>78</v>
      </c>
      <c r="B26" s="10" t="s">
        <v>79</v>
      </c>
      <c r="C26" s="9" t="s">
        <v>73</v>
      </c>
      <c r="D26" s="11" t="n">
        <v>0</v>
      </c>
      <c r="E26" s="11" t="n">
        <v>-800000</v>
      </c>
      <c r="F26" s="12" t="n">
        <f aca="false">D26+E26</f>
        <v>-800000</v>
      </c>
      <c r="G26" s="10" t="s">
        <v>80</v>
      </c>
    </row>
    <row r="27" customFormat="false" ht="15" hidden="false" customHeight="true" outlineLevel="0" collapsed="false">
      <c r="A27" s="5" t="s">
        <v>81</v>
      </c>
      <c r="B27" s="6" t="s">
        <v>82</v>
      </c>
      <c r="C27" s="5" t="s">
        <v>73</v>
      </c>
      <c r="D27" s="7" t="n">
        <v>0</v>
      </c>
      <c r="E27" s="7" t="n">
        <v>-650000</v>
      </c>
      <c r="F27" s="8" t="n">
        <f aca="false">D27+E27</f>
        <v>-650000</v>
      </c>
      <c r="G27" s="6" t="s">
        <v>83</v>
      </c>
    </row>
    <row r="28" customFormat="false" ht="15" hidden="false" customHeight="true" outlineLevel="0" collapsed="false">
      <c r="A28" s="9" t="s">
        <v>84</v>
      </c>
      <c r="B28" s="10" t="s">
        <v>85</v>
      </c>
      <c r="C28" s="9" t="s">
        <v>86</v>
      </c>
      <c r="D28" s="11" t="n">
        <v>0</v>
      </c>
      <c r="E28" s="11" t="n">
        <v>4200000</v>
      </c>
      <c r="F28" s="12" t="n">
        <f aca="false">D28+E28</f>
        <v>4200000</v>
      </c>
      <c r="G28" s="10" t="s">
        <v>87</v>
      </c>
    </row>
    <row r="29" customFormat="false" ht="15" hidden="false" customHeight="true" outlineLevel="0" collapsed="false">
      <c r="A29" s="5" t="s">
        <v>88</v>
      </c>
      <c r="B29" s="6" t="s">
        <v>89</v>
      </c>
      <c r="C29" s="5" t="s">
        <v>86</v>
      </c>
      <c r="D29" s="7" t="n">
        <v>0</v>
      </c>
      <c r="E29" s="7" t="n">
        <v>950000</v>
      </c>
      <c r="F29" s="8" t="n">
        <f aca="false">D29+E29</f>
        <v>950000</v>
      </c>
      <c r="G29" s="6" t="s">
        <v>90</v>
      </c>
    </row>
    <row r="30" customFormat="false" ht="15" hidden="false" customHeight="true" outlineLevel="0" collapsed="false">
      <c r="A30" s="9" t="s">
        <v>91</v>
      </c>
      <c r="B30" s="10" t="s">
        <v>92</v>
      </c>
      <c r="C30" s="9" t="s">
        <v>86</v>
      </c>
      <c r="D30" s="11" t="n">
        <v>0</v>
      </c>
      <c r="E30" s="11" t="n">
        <v>620000</v>
      </c>
      <c r="F30" s="12" t="n">
        <f aca="false">D30+E30</f>
        <v>620000</v>
      </c>
      <c r="G30" s="10" t="s">
        <v>93</v>
      </c>
    </row>
    <row r="31" customFormat="false" ht="15" hidden="false" customHeight="true" outlineLevel="0" collapsed="false">
      <c r="A31" s="5" t="s">
        <v>94</v>
      </c>
      <c r="B31" s="6" t="s">
        <v>95</v>
      </c>
      <c r="C31" s="5" t="s">
        <v>86</v>
      </c>
      <c r="D31" s="7" t="n">
        <v>0</v>
      </c>
      <c r="E31" s="7" t="n">
        <v>180000</v>
      </c>
      <c r="F31" s="8" t="n">
        <f aca="false">D31+E31</f>
        <v>180000</v>
      </c>
      <c r="G31" s="6" t="s">
        <v>96</v>
      </c>
    </row>
    <row r="32" customFormat="false" ht="15" hidden="false" customHeight="true" outlineLevel="0" collapsed="false">
      <c r="A32" s="9" t="s">
        <v>97</v>
      </c>
      <c r="B32" s="10" t="s">
        <v>98</v>
      </c>
      <c r="C32" s="9" t="s">
        <v>99</v>
      </c>
      <c r="D32" s="11" t="n">
        <v>0</v>
      </c>
      <c r="E32" s="11" t="n">
        <v>1450000</v>
      </c>
      <c r="F32" s="12" t="n">
        <f aca="false">D32+E32</f>
        <v>1450000</v>
      </c>
      <c r="G32" s="10" t="s">
        <v>100</v>
      </c>
    </row>
    <row r="33" customFormat="false" ht="15" hidden="false" customHeight="true" outlineLevel="0" collapsed="false">
      <c r="A33" s="5" t="s">
        <v>101</v>
      </c>
      <c r="B33" s="6" t="s">
        <v>102</v>
      </c>
      <c r="C33" s="5" t="s">
        <v>99</v>
      </c>
      <c r="D33" s="7" t="n">
        <v>0</v>
      </c>
      <c r="E33" s="7" t="n">
        <v>480000</v>
      </c>
      <c r="F33" s="8" t="n">
        <f aca="false">D33+E33</f>
        <v>480000</v>
      </c>
      <c r="G33" s="6" t="s">
        <v>103</v>
      </c>
    </row>
    <row r="34" customFormat="false" ht="15" hidden="false" customHeight="true" outlineLevel="0" collapsed="false">
      <c r="A34" s="9" t="s">
        <v>104</v>
      </c>
      <c r="B34" s="10" t="s">
        <v>105</v>
      </c>
      <c r="C34" s="9" t="s">
        <v>99</v>
      </c>
      <c r="D34" s="11" t="n">
        <v>0</v>
      </c>
      <c r="E34" s="11" t="n">
        <v>470000</v>
      </c>
      <c r="F34" s="12" t="n">
        <f aca="false">D34+E34</f>
        <v>470000</v>
      </c>
      <c r="G34" s="10" t="s">
        <v>106</v>
      </c>
    </row>
    <row r="35" customFormat="false" ht="15" hidden="false" customHeight="true" outlineLevel="0" collapsed="false">
      <c r="A35" s="5" t="s">
        <v>107</v>
      </c>
      <c r="B35" s="6" t="s">
        <v>108</v>
      </c>
      <c r="C35" s="5" t="s">
        <v>99</v>
      </c>
      <c r="D35" s="7" t="n">
        <v>0</v>
      </c>
      <c r="E35" s="7" t="n">
        <v>85000</v>
      </c>
      <c r="F35" s="8" t="n">
        <f aca="false">D35+E35</f>
        <v>85000</v>
      </c>
      <c r="G35" s="6" t="s">
        <v>109</v>
      </c>
    </row>
    <row r="36" customFormat="false" ht="15" hidden="false" customHeight="true" outlineLevel="0" collapsed="false">
      <c r="A36" s="9" t="s">
        <v>110</v>
      </c>
      <c r="B36" s="10" t="s">
        <v>111</v>
      </c>
      <c r="C36" s="9" t="s">
        <v>99</v>
      </c>
      <c r="D36" s="11" t="n">
        <v>0</v>
      </c>
      <c r="E36" s="11" t="n">
        <v>120000</v>
      </c>
      <c r="F36" s="12" t="n">
        <f aca="false">D36+E36</f>
        <v>120000</v>
      </c>
      <c r="G36" s="10" t="s">
        <v>112</v>
      </c>
    </row>
    <row r="37" customFormat="false" ht="15" hidden="false" customHeight="true" outlineLevel="0" collapsed="false">
      <c r="A37" s="5" t="s">
        <v>113</v>
      </c>
      <c r="B37" s="6" t="s">
        <v>114</v>
      </c>
      <c r="C37" s="5" t="s">
        <v>99</v>
      </c>
      <c r="D37" s="7" t="n">
        <v>0</v>
      </c>
      <c r="E37" s="7" t="n">
        <v>95000</v>
      </c>
      <c r="F37" s="8" t="n">
        <f aca="false">D37+E37</f>
        <v>95000</v>
      </c>
      <c r="G37" s="6" t="s">
        <v>115</v>
      </c>
    </row>
    <row r="38" customFormat="false" ht="15" hidden="false" customHeight="true" outlineLevel="0" collapsed="false">
      <c r="A38" s="9" t="s">
        <v>116</v>
      </c>
      <c r="B38" s="10" t="s">
        <v>117</v>
      </c>
      <c r="C38" s="9" t="s">
        <v>99</v>
      </c>
      <c r="D38" s="11" t="n">
        <v>0</v>
      </c>
      <c r="E38" s="11" t="n">
        <v>150000</v>
      </c>
      <c r="F38" s="12" t="n">
        <f aca="false">D38+E38</f>
        <v>150000</v>
      </c>
      <c r="G38" s="10" t="s">
        <v>118</v>
      </c>
    </row>
    <row r="39" customFormat="false" ht="15" hidden="false" customHeight="true" outlineLevel="0" collapsed="false">
      <c r="A39" s="5" t="s">
        <v>119</v>
      </c>
      <c r="B39" s="6" t="s">
        <v>120</v>
      </c>
      <c r="C39" s="5" t="s">
        <v>99</v>
      </c>
      <c r="D39" s="7" t="n">
        <v>0</v>
      </c>
      <c r="E39" s="7" t="n">
        <v>65000</v>
      </c>
      <c r="F39" s="8" t="n">
        <f aca="false">D39+E39</f>
        <v>65000</v>
      </c>
      <c r="G39" s="6" t="s">
        <v>121</v>
      </c>
    </row>
    <row r="40" customFormat="false" ht="15" hidden="false" customHeight="true" outlineLevel="0" collapsed="false">
      <c r="A40" s="9" t="s">
        <v>122</v>
      </c>
      <c r="B40" s="10" t="s">
        <v>123</v>
      </c>
      <c r="C40" s="9" t="s">
        <v>124</v>
      </c>
      <c r="D40" s="11" t="n">
        <v>0</v>
      </c>
      <c r="E40" s="11" t="n">
        <v>-85000</v>
      </c>
      <c r="F40" s="12" t="n">
        <f aca="false">D40+E40</f>
        <v>-85000</v>
      </c>
      <c r="G40" s="10" t="s">
        <v>125</v>
      </c>
    </row>
    <row r="41" customFormat="false" ht="15" hidden="false" customHeight="true" outlineLevel="0" collapsed="false">
      <c r="A41" s="5" t="s">
        <v>126</v>
      </c>
      <c r="B41" s="6" t="s">
        <v>127</v>
      </c>
      <c r="C41" s="5" t="s">
        <v>128</v>
      </c>
      <c r="D41" s="7" t="n">
        <v>0</v>
      </c>
      <c r="E41" s="7" t="n">
        <v>28000</v>
      </c>
      <c r="F41" s="8" t="n">
        <f aca="false">D41+E41</f>
        <v>28000</v>
      </c>
      <c r="G41" s="6" t="s">
        <v>129</v>
      </c>
    </row>
    <row r="42" customFormat="false" ht="15" hidden="false" customHeight="true" outlineLevel="0" collapsed="false">
      <c r="A42" s="9" t="s">
        <v>130</v>
      </c>
      <c r="B42" s="10" t="s">
        <v>131</v>
      </c>
      <c r="C42" s="9" t="s">
        <v>132</v>
      </c>
      <c r="D42" s="11" t="n">
        <v>0</v>
      </c>
      <c r="E42" s="11" t="n">
        <v>312000</v>
      </c>
      <c r="F42" s="12" t="n">
        <f aca="false">D42+E42</f>
        <v>312000</v>
      </c>
      <c r="G42" s="10" t="s">
        <v>133</v>
      </c>
    </row>
    <row r="43" customFormat="false" ht="21.75" hidden="false" customHeight="true" outlineLevel="0" collapsed="false">
      <c r="A43" s="13" t="s">
        <v>134</v>
      </c>
      <c r="B43" s="13"/>
      <c r="C43" s="13"/>
      <c r="D43" s="14" t="n">
        <f aca="false">SUM(D5:D42)</f>
        <v>-300000</v>
      </c>
      <c r="E43" s="14" t="n">
        <f aca="false">SUM(E5:E42)</f>
        <v>-2295000</v>
      </c>
      <c r="F43" s="14" t="n">
        <f aca="false">SUM(F5:F42)</f>
        <v>-2595000</v>
      </c>
      <c r="G43" s="15" t="s">
        <v>135</v>
      </c>
    </row>
    <row r="45" customFormat="false" ht="15" hidden="false" customHeight="true" outlineLevel="0" collapsed="false">
      <c r="A45" s="16" t="s">
        <v>136</v>
      </c>
      <c r="B45" s="16"/>
      <c r="C45" s="16"/>
    </row>
    <row r="46" customFormat="false" ht="15" hidden="false" customHeight="true" outlineLevel="0" collapsed="false">
      <c r="A46" s="17" t="s">
        <v>137</v>
      </c>
      <c r="B46" s="18" t="s">
        <v>138</v>
      </c>
    </row>
    <row r="47" customFormat="false" ht="15" hidden="false" customHeight="true" outlineLevel="0" collapsed="false">
      <c r="A47" s="19" t="s">
        <v>139</v>
      </c>
      <c r="B47" s="18" t="s">
        <v>140</v>
      </c>
    </row>
    <row r="48" customFormat="false" ht="15" hidden="false" customHeight="true" outlineLevel="0" collapsed="false">
      <c r="A48" s="20" t="s">
        <v>141</v>
      </c>
      <c r="B48" s="18" t="s">
        <v>142</v>
      </c>
    </row>
  </sheetData>
  <mergeCells count="4">
    <mergeCell ref="A1:G1"/>
    <mergeCell ref="A2:G2"/>
    <mergeCell ref="A43:C43"/>
    <mergeCell ref="A45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6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19.5" hidden="false" customHeight="true" outlineLevel="0" collapsed="false">
      <c r="A2" s="3" t="s">
        <v>143</v>
      </c>
      <c r="B2" s="3"/>
      <c r="C2" s="3"/>
      <c r="D2" s="3"/>
    </row>
    <row r="4" customFormat="false" ht="27.75" hidden="false" customHeight="true" outlineLevel="0" collapsed="false">
      <c r="A4" s="4" t="s">
        <v>144</v>
      </c>
      <c r="B4" s="4" t="s">
        <v>145</v>
      </c>
      <c r="C4" s="4" t="s">
        <v>146</v>
      </c>
      <c r="D4" s="4" t="s">
        <v>147</v>
      </c>
    </row>
    <row r="5" customFormat="false" ht="21.75" hidden="false" customHeight="true" outlineLevel="0" collapsed="false">
      <c r="A5" s="21" t="s">
        <v>148</v>
      </c>
      <c r="B5" s="4"/>
      <c r="C5" s="22"/>
      <c r="D5" s="23"/>
    </row>
    <row r="6" customFormat="false" ht="18" hidden="false" customHeight="true" outlineLevel="0" collapsed="false">
      <c r="A6" s="10" t="s">
        <v>149</v>
      </c>
      <c r="B6" s="24" t="s">
        <v>71</v>
      </c>
      <c r="C6" s="25" t="n">
        <f aca="false">-1*(SUMIF('Trial Balance'!A$5:A$42,"4001",'Trial Balance'!E$5:E$42))</f>
        <v>7500000</v>
      </c>
      <c r="D6" s="26" t="n">
        <f aca="false">IF(C10&lt;&gt;0,C6/C10,0)</f>
        <v>0.570342205323194</v>
      </c>
    </row>
    <row r="7" customFormat="false" ht="18" hidden="false" customHeight="true" outlineLevel="0" collapsed="false">
      <c r="A7" s="6" t="s">
        <v>150</v>
      </c>
      <c r="B7" s="27" t="s">
        <v>75</v>
      </c>
      <c r="C7" s="28" t="n">
        <f aca="false">-1*(SUMIF('Trial Balance'!A$5:A$42,"4002",'Trial Balance'!E$5:E$42))</f>
        <v>4200000</v>
      </c>
      <c r="D7" s="29" t="n">
        <f aca="false">IF(C10&lt;&gt;0,C7/C10,0)</f>
        <v>0.319391634980989</v>
      </c>
    </row>
    <row r="8" customFormat="false" ht="18" hidden="false" customHeight="true" outlineLevel="0" collapsed="false">
      <c r="A8" s="10" t="s">
        <v>151</v>
      </c>
      <c r="B8" s="24" t="s">
        <v>78</v>
      </c>
      <c r="C8" s="25" t="n">
        <f aca="false">-1*(SUMIF('Trial Balance'!A$5:A$42,"4003",'Trial Balance'!E$5:E$42))</f>
        <v>800000</v>
      </c>
      <c r="D8" s="26" t="n">
        <f aca="false">IF(C10&lt;&gt;0,C8/C10,0)</f>
        <v>0.0608365019011407</v>
      </c>
    </row>
    <row r="9" customFormat="false" ht="18" hidden="false" customHeight="true" outlineLevel="0" collapsed="false">
      <c r="A9" s="6" t="s">
        <v>152</v>
      </c>
      <c r="B9" s="27" t="s">
        <v>81</v>
      </c>
      <c r="C9" s="28" t="n">
        <f aca="false">-1*(SUMIF('Trial Balance'!A$5:A$42,"4004",'Trial Balance'!E$5:E$42))</f>
        <v>650000</v>
      </c>
      <c r="D9" s="29" t="n">
        <f aca="false">IF(C10&lt;&gt;0,C9/C10,0)</f>
        <v>0.0494296577946768</v>
      </c>
    </row>
    <row r="10" customFormat="false" ht="19.5" hidden="false" customHeight="true" outlineLevel="0" collapsed="false">
      <c r="A10" s="30" t="s">
        <v>153</v>
      </c>
      <c r="B10" s="31"/>
      <c r="C10" s="32" t="n">
        <f aca="false">SUM(C6,C7,C8,C9)</f>
        <v>13150000</v>
      </c>
      <c r="D10" s="33" t="n">
        <f aca="false">IF(C10&lt;&gt;0,C10/C10,0)</f>
        <v>1</v>
      </c>
    </row>
    <row r="11" customFormat="false" ht="7.5" hidden="false" customHeight="true" outlineLevel="0" collapsed="false"/>
    <row r="12" customFormat="false" ht="21.75" hidden="false" customHeight="true" outlineLevel="0" collapsed="false">
      <c r="A12" s="21" t="s">
        <v>154</v>
      </c>
      <c r="B12" s="4"/>
      <c r="C12" s="22"/>
      <c r="D12" s="23"/>
    </row>
    <row r="13" customFormat="false" ht="18" hidden="false" customHeight="true" outlineLevel="0" collapsed="false">
      <c r="A13" s="10" t="s">
        <v>155</v>
      </c>
      <c r="B13" s="24" t="s">
        <v>84</v>
      </c>
      <c r="C13" s="25" t="n">
        <f aca="false">SUMIF('Trial Balance'!A$5:A$42,"5001",'Trial Balance'!E$5:E$42)</f>
        <v>4200000</v>
      </c>
      <c r="D13" s="26" t="n">
        <f aca="false">IF(C10&lt;&gt;0,C13/C10,0)</f>
        <v>0.319391634980989</v>
      </c>
    </row>
    <row r="14" customFormat="false" ht="18" hidden="false" customHeight="true" outlineLevel="0" collapsed="false">
      <c r="A14" s="6" t="s">
        <v>156</v>
      </c>
      <c r="B14" s="27" t="s">
        <v>88</v>
      </c>
      <c r="C14" s="28" t="n">
        <f aca="false">SUMIF('Trial Balance'!A$5:A$42,"5002",'Trial Balance'!E$5:E$42)</f>
        <v>950000</v>
      </c>
      <c r="D14" s="29" t="n">
        <f aca="false">IF(C10&lt;&gt;0,C14/C10,0)</f>
        <v>0.0722433460076046</v>
      </c>
    </row>
    <row r="15" customFormat="false" ht="18" hidden="false" customHeight="true" outlineLevel="0" collapsed="false">
      <c r="A15" s="10" t="s">
        <v>157</v>
      </c>
      <c r="B15" s="24" t="s">
        <v>91</v>
      </c>
      <c r="C15" s="25" t="n">
        <f aca="false">SUMIF('Trial Balance'!A$5:A$42,"5003",'Trial Balance'!E$5:E$42)</f>
        <v>620000</v>
      </c>
      <c r="D15" s="26" t="n">
        <f aca="false">IF(C10&lt;&gt;0,C15/C10,0)</f>
        <v>0.047148288973384</v>
      </c>
    </row>
    <row r="16" customFormat="false" ht="18" hidden="false" customHeight="true" outlineLevel="0" collapsed="false">
      <c r="A16" s="6" t="s">
        <v>158</v>
      </c>
      <c r="B16" s="27" t="s">
        <v>94</v>
      </c>
      <c r="C16" s="28" t="n">
        <f aca="false">SUMIF('Trial Balance'!A$5:A$42,"5004",'Trial Balance'!E$5:E$42)</f>
        <v>180000</v>
      </c>
      <c r="D16" s="29" t="n">
        <f aca="false">IF(C10&lt;&gt;0,C16/C10,0)</f>
        <v>0.0136882129277567</v>
      </c>
    </row>
    <row r="17" customFormat="false" ht="19.5" hidden="false" customHeight="true" outlineLevel="0" collapsed="false">
      <c r="A17" s="30" t="s">
        <v>159</v>
      </c>
      <c r="B17" s="31"/>
      <c r="C17" s="32" t="n">
        <f aca="false">SUM(C13,C14,C15,C16)</f>
        <v>5950000</v>
      </c>
      <c r="D17" s="33" t="n">
        <f aca="false">IF(C10&lt;&gt;0,C17/C10,0)</f>
        <v>0.452471482889734</v>
      </c>
    </row>
    <row r="18" customFormat="false" ht="19.5" hidden="false" customHeight="true" outlineLevel="0" collapsed="false">
      <c r="A18" s="34" t="s">
        <v>160</v>
      </c>
      <c r="B18" s="35"/>
      <c r="C18" s="36" t="n">
        <f aca="false">C10-C17</f>
        <v>7200000</v>
      </c>
      <c r="D18" s="37" t="n">
        <f aca="false">IF(C10&lt;&gt;0,C18/C10,0)</f>
        <v>0.547528517110266</v>
      </c>
    </row>
    <row r="19" customFormat="false" ht="18" hidden="false" customHeight="true" outlineLevel="0" collapsed="false">
      <c r="A19" s="38" t="s">
        <v>161</v>
      </c>
      <c r="B19" s="35"/>
      <c r="C19" s="39"/>
      <c r="D19" s="37" t="n">
        <f aca="false">IF(C10&lt;&gt;0,C18/C10,0)</f>
        <v>0.547528517110266</v>
      </c>
    </row>
    <row r="20" customFormat="false" ht="7.5" hidden="false" customHeight="true" outlineLevel="0" collapsed="false"/>
    <row r="21" customFormat="false" ht="21.75" hidden="false" customHeight="true" outlineLevel="0" collapsed="false">
      <c r="A21" s="21" t="s">
        <v>162</v>
      </c>
      <c r="B21" s="4"/>
      <c r="C21" s="22"/>
      <c r="D21" s="23"/>
    </row>
    <row r="22" customFormat="false" ht="18" hidden="false" customHeight="true" outlineLevel="0" collapsed="false">
      <c r="A22" s="10" t="s">
        <v>163</v>
      </c>
      <c r="B22" s="24" t="s">
        <v>97</v>
      </c>
      <c r="C22" s="25" t="n">
        <f aca="false">SUMIF('Trial Balance'!A$5:A$42,"6001",'Trial Balance'!E$5:E$42)</f>
        <v>1450000</v>
      </c>
      <c r="D22" s="26" t="n">
        <f aca="false">IF(C10&lt;&gt;0,C22/C10,0)</f>
        <v>0.110266159695817</v>
      </c>
    </row>
    <row r="23" customFormat="false" ht="18" hidden="false" customHeight="true" outlineLevel="0" collapsed="false">
      <c r="A23" s="6" t="s">
        <v>164</v>
      </c>
      <c r="B23" s="27" t="s">
        <v>101</v>
      </c>
      <c r="C23" s="28" t="n">
        <f aca="false">SUMIF('Trial Balance'!A$5:A$42,"6002",'Trial Balance'!E$5:E$42)</f>
        <v>480000</v>
      </c>
      <c r="D23" s="29" t="n">
        <f aca="false">IF(C10&lt;&gt;0,C23/C10,0)</f>
        <v>0.0365019011406844</v>
      </c>
    </row>
    <row r="24" customFormat="false" ht="18" hidden="false" customHeight="true" outlineLevel="0" collapsed="false">
      <c r="A24" s="10" t="s">
        <v>165</v>
      </c>
      <c r="B24" s="24" t="s">
        <v>104</v>
      </c>
      <c r="C24" s="25" t="n">
        <f aca="false">SUMIF('Trial Balance'!A$5:A$42,"6003",'Trial Balance'!E$5:E$42)</f>
        <v>470000</v>
      </c>
      <c r="D24" s="26" t="n">
        <f aca="false">IF(C10&lt;&gt;0,C24/C10,0)</f>
        <v>0.0357414448669202</v>
      </c>
    </row>
    <row r="25" customFormat="false" ht="18" hidden="false" customHeight="true" outlineLevel="0" collapsed="false">
      <c r="A25" s="6" t="s">
        <v>166</v>
      </c>
      <c r="B25" s="27" t="s">
        <v>107</v>
      </c>
      <c r="C25" s="28" t="n">
        <f aca="false">SUMIF('Trial Balance'!A$5:A$42,"6004",'Trial Balance'!E$5:E$42)</f>
        <v>85000</v>
      </c>
      <c r="D25" s="29" t="n">
        <f aca="false">IF(C10&lt;&gt;0,C25/C10,0)</f>
        <v>0.0064638783269962</v>
      </c>
    </row>
    <row r="26" customFormat="false" ht="18" hidden="false" customHeight="true" outlineLevel="0" collapsed="false">
      <c r="A26" s="10" t="s">
        <v>167</v>
      </c>
      <c r="B26" s="24" t="s">
        <v>110</v>
      </c>
      <c r="C26" s="25" t="n">
        <f aca="false">SUMIF('Trial Balance'!A$5:A$42,"6005",'Trial Balance'!E$5:E$42)</f>
        <v>120000</v>
      </c>
      <c r="D26" s="26" t="n">
        <f aca="false">IF(C10&lt;&gt;0,C26/C10,0)</f>
        <v>0.0091254752851711</v>
      </c>
    </row>
    <row r="27" customFormat="false" ht="18" hidden="false" customHeight="true" outlineLevel="0" collapsed="false">
      <c r="A27" s="6" t="s">
        <v>168</v>
      </c>
      <c r="B27" s="27" t="s">
        <v>113</v>
      </c>
      <c r="C27" s="28" t="n">
        <f aca="false">SUMIF('Trial Balance'!A$5:A$42,"6006",'Trial Balance'!E$5:E$42)</f>
        <v>95000</v>
      </c>
      <c r="D27" s="29" t="n">
        <f aca="false">IF(C10&lt;&gt;0,C27/C10,0)</f>
        <v>0.00722433460076046</v>
      </c>
    </row>
    <row r="28" customFormat="false" ht="18" hidden="false" customHeight="true" outlineLevel="0" collapsed="false">
      <c r="A28" s="10" t="s">
        <v>169</v>
      </c>
      <c r="B28" s="24" t="s">
        <v>116</v>
      </c>
      <c r="C28" s="25" t="n">
        <f aca="false">SUMIF('Trial Balance'!A$5:A$42,"6007",'Trial Balance'!E$5:E$42)</f>
        <v>150000</v>
      </c>
      <c r="D28" s="26" t="n">
        <f aca="false">IF(C10&lt;&gt;0,C28/C10,0)</f>
        <v>0.0114068441064639</v>
      </c>
    </row>
    <row r="29" customFormat="false" ht="18" hidden="false" customHeight="true" outlineLevel="0" collapsed="false">
      <c r="A29" s="6" t="s">
        <v>170</v>
      </c>
      <c r="B29" s="27" t="s">
        <v>119</v>
      </c>
      <c r="C29" s="28" t="n">
        <f aca="false">SUMIF('Trial Balance'!A$5:A$42,"6008",'Trial Balance'!E$5:E$42)</f>
        <v>65000</v>
      </c>
      <c r="D29" s="29" t="n">
        <f aca="false">IF(C10&lt;&gt;0,C29/C10,0)</f>
        <v>0.00494296577946768</v>
      </c>
    </row>
    <row r="30" customFormat="false" ht="19.5" hidden="false" customHeight="true" outlineLevel="0" collapsed="false">
      <c r="A30" s="30" t="s">
        <v>171</v>
      </c>
      <c r="B30" s="31"/>
      <c r="C30" s="32" t="n">
        <f aca="false">SUM(C22,C23,C24,C25,C26,C27,C28,C29)</f>
        <v>2915000</v>
      </c>
      <c r="D30" s="33" t="n">
        <f aca="false">IF(C10&lt;&gt;0,C30/C10,0)</f>
        <v>0.221673003802281</v>
      </c>
    </row>
    <row r="31" customFormat="false" ht="19.5" hidden="false" customHeight="true" outlineLevel="0" collapsed="false">
      <c r="A31" s="34" t="s">
        <v>172</v>
      </c>
      <c r="B31" s="35"/>
      <c r="C31" s="36" t="n">
        <f aca="false">C18-C30</f>
        <v>4285000</v>
      </c>
      <c r="D31" s="37" t="n">
        <f aca="false">IF(C10&lt;&gt;0,C31/C10,0)</f>
        <v>0.325855513307985</v>
      </c>
    </row>
    <row r="32" customFormat="false" ht="18" hidden="false" customHeight="true" outlineLevel="0" collapsed="false">
      <c r="A32" s="38" t="s">
        <v>173</v>
      </c>
      <c r="B32" s="35"/>
      <c r="C32" s="39"/>
      <c r="D32" s="37" t="n">
        <f aca="false">IF(C10&lt;&gt;0,C31/C10,0)</f>
        <v>0.325855513307985</v>
      </c>
    </row>
    <row r="33" customFormat="false" ht="7.5" hidden="false" customHeight="true" outlineLevel="0" collapsed="false"/>
    <row r="34" customFormat="false" ht="21.75" hidden="false" customHeight="true" outlineLevel="0" collapsed="false">
      <c r="A34" s="21" t="s">
        <v>174</v>
      </c>
      <c r="B34" s="4"/>
      <c r="C34" s="22"/>
      <c r="D34" s="23"/>
    </row>
    <row r="35" customFormat="false" ht="18" hidden="false" customHeight="true" outlineLevel="0" collapsed="false">
      <c r="A35" s="10" t="s">
        <v>175</v>
      </c>
      <c r="B35" s="24" t="s">
        <v>122</v>
      </c>
      <c r="C35" s="25" t="n">
        <f aca="false">-1*(SUMIF('Trial Balance'!A$5:A$42,"7001",'Trial Balance'!E$5:E$42))</f>
        <v>85000</v>
      </c>
      <c r="D35" s="26" t="n">
        <f aca="false">IF(C10&lt;&gt;0,C35/C10,0)</f>
        <v>0.0064638783269962</v>
      </c>
    </row>
    <row r="36" customFormat="false" ht="18" hidden="false" customHeight="true" outlineLevel="0" collapsed="false">
      <c r="A36" s="6" t="s">
        <v>176</v>
      </c>
      <c r="B36" s="27" t="s">
        <v>126</v>
      </c>
      <c r="C36" s="28" t="n">
        <f aca="false">SUMIF('Trial Balance'!A$5:A$42,"7002",'Trial Balance'!E$5:E$42)</f>
        <v>28000</v>
      </c>
      <c r="D36" s="29" t="n">
        <f aca="false">IF(C10&lt;&gt;0,C36/C10,0)</f>
        <v>0.00212927756653992</v>
      </c>
    </row>
    <row r="37" customFormat="false" ht="19.5" hidden="false" customHeight="true" outlineLevel="0" collapsed="false">
      <c r="A37" s="30" t="s">
        <v>177</v>
      </c>
      <c r="B37" s="31"/>
      <c r="C37" s="32" t="n">
        <f aca="false">SUM(C35,C36)</f>
        <v>113000</v>
      </c>
      <c r="D37" s="33" t="n">
        <f aca="false">IF(C10&lt;&gt;0,C37/C10,0)</f>
        <v>0.00859315589353612</v>
      </c>
    </row>
    <row r="38" customFormat="false" ht="7.5" hidden="false" customHeight="true" outlineLevel="0" collapsed="false"/>
    <row r="39" customFormat="false" ht="19.5" hidden="false" customHeight="true" outlineLevel="0" collapsed="false">
      <c r="A39" s="34" t="s">
        <v>178</v>
      </c>
      <c r="B39" s="35"/>
      <c r="C39" s="36" t="n">
        <f aca="false">C31+C37</f>
        <v>4398000</v>
      </c>
      <c r="D39" s="37" t="n">
        <f aca="false">IF(C10&lt;&gt;0,C39/C10,0)</f>
        <v>0.334448669201521</v>
      </c>
    </row>
    <row r="40" customFormat="false" ht="18" hidden="false" customHeight="true" outlineLevel="0" collapsed="false">
      <c r="A40" s="38" t="s">
        <v>179</v>
      </c>
      <c r="B40" s="35"/>
      <c r="C40" s="39"/>
      <c r="D40" s="37" t="n">
        <f aca="false">IF(C10&lt;&gt;0,C39/C10,0)</f>
        <v>0.334448669201521</v>
      </c>
    </row>
    <row r="41" customFormat="false" ht="18" hidden="false" customHeight="true" outlineLevel="0" collapsed="false">
      <c r="A41" s="40" t="s">
        <v>180</v>
      </c>
      <c r="B41" s="41" t="s">
        <v>130</v>
      </c>
      <c r="C41" s="42" t="n">
        <f aca="false">SUMIF('Trial Balance'!A$5:A$42,"8001",'Trial Balance'!E$5:E$42)</f>
        <v>312000</v>
      </c>
      <c r="D41" s="43" t="n">
        <f aca="false">IF(C10&lt;&gt;0,C41/C10,0)</f>
        <v>0.0237262357414449</v>
      </c>
    </row>
    <row r="42" customFormat="false" ht="19.5" hidden="false" customHeight="true" outlineLevel="0" collapsed="false">
      <c r="A42" s="34" t="s">
        <v>181</v>
      </c>
      <c r="B42" s="35"/>
      <c r="C42" s="36" t="n">
        <f aca="false">C39-SUM(C41)</f>
        <v>4086000</v>
      </c>
      <c r="D42" s="37" t="n">
        <f aca="false">IF(C10&lt;&gt;0,C42/C10,0)</f>
        <v>0.310722433460076</v>
      </c>
    </row>
    <row r="43" customFormat="false" ht="18" hidden="false" customHeight="true" outlineLevel="0" collapsed="false">
      <c r="A43" s="38" t="s">
        <v>182</v>
      </c>
      <c r="B43" s="35"/>
      <c r="C43" s="39"/>
      <c r="D43" s="37" t="n">
        <f aca="false">IF(C10&lt;&gt;0,C42/C10,0)</f>
        <v>0.310722433460076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5" min="3" style="1" width="18"/>
    <col collapsed="false" customWidth="true" hidden="false" outlineLevel="0" max="6" min="6" style="1" width="14"/>
    <col collapsed="false" customWidth="true" hidden="false" outlineLevel="0" max="7" min="7" style="1" width="5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183</v>
      </c>
      <c r="B2" s="3"/>
      <c r="C2" s="3"/>
      <c r="D2" s="3"/>
      <c r="E2" s="3"/>
      <c r="F2" s="3"/>
      <c r="G2" s="3"/>
    </row>
    <row r="3" customFormat="false" ht="15.75" hidden="false" customHeight="true" outlineLevel="0" collapsed="false">
      <c r="A3" s="44" t="s">
        <v>184</v>
      </c>
      <c r="B3" s="44"/>
      <c r="C3" s="44"/>
      <c r="D3" s="44"/>
      <c r="E3" s="44"/>
      <c r="F3" s="44"/>
      <c r="G3" s="44"/>
    </row>
    <row r="4" customFormat="false" ht="27.75" hidden="false" customHeight="true" outlineLevel="0" collapsed="false">
      <c r="A4" s="4" t="s">
        <v>185</v>
      </c>
      <c r="B4" s="4" t="s">
        <v>144</v>
      </c>
      <c r="C4" s="4" t="s">
        <v>186</v>
      </c>
      <c r="D4" s="4" t="s">
        <v>187</v>
      </c>
      <c r="E4" s="4" t="s">
        <v>188</v>
      </c>
      <c r="F4" s="4" t="s">
        <v>189</v>
      </c>
      <c r="G4" s="4" t="s">
        <v>190</v>
      </c>
    </row>
    <row r="5" customFormat="false" ht="45" hidden="false" customHeight="true" outlineLevel="0" collapsed="false">
      <c r="A5" s="5" t="n">
        <v>1</v>
      </c>
      <c r="B5" s="6" t="s">
        <v>191</v>
      </c>
      <c r="C5" s="7" t="n">
        <v>13500000</v>
      </c>
      <c r="D5" s="7" t="n">
        <v>13150000</v>
      </c>
      <c r="E5" s="45" t="n">
        <f aca="false">D5-C5</f>
        <v>-350000</v>
      </c>
      <c r="F5" s="46" t="n">
        <f aca="false">IF(C5&lt;&gt;0,(D5-C5)/C5,0)</f>
        <v>-0.0259259259259259</v>
      </c>
      <c r="G5" s="47" t="s">
        <v>192</v>
      </c>
    </row>
    <row r="6" customFormat="false" ht="45" hidden="false" customHeight="true" outlineLevel="0" collapsed="false">
      <c r="A6" s="9" t="n">
        <v>2</v>
      </c>
      <c r="B6" s="10" t="s">
        <v>85</v>
      </c>
      <c r="C6" s="11" t="n">
        <v>4000000</v>
      </c>
      <c r="D6" s="11" t="n">
        <v>4200000</v>
      </c>
      <c r="E6" s="45" t="n">
        <f aca="false">D6-C6</f>
        <v>200000</v>
      </c>
      <c r="F6" s="46" t="n">
        <f aca="false">IF(C6&lt;&gt;0,(D6-C6)/C6,0)</f>
        <v>0.05</v>
      </c>
      <c r="G6" s="48" t="s">
        <v>193</v>
      </c>
    </row>
    <row r="7" customFormat="false" ht="45" hidden="false" customHeight="true" outlineLevel="0" collapsed="false">
      <c r="A7" s="5" t="n">
        <v>3</v>
      </c>
      <c r="B7" s="6" t="s">
        <v>89</v>
      </c>
      <c r="C7" s="7" t="n">
        <v>800000</v>
      </c>
      <c r="D7" s="7" t="n">
        <v>950000</v>
      </c>
      <c r="E7" s="45" t="n">
        <f aca="false">D7-C7</f>
        <v>150000</v>
      </c>
      <c r="F7" s="46" t="n">
        <f aca="false">IF(C7&lt;&gt;0,(D7-C7)/C7,0)</f>
        <v>0.1875</v>
      </c>
      <c r="G7" s="47" t="s">
        <v>194</v>
      </c>
    </row>
    <row r="8" customFormat="false" ht="45" hidden="false" customHeight="true" outlineLevel="0" collapsed="false">
      <c r="A8" s="9" t="n">
        <v>4</v>
      </c>
      <c r="B8" s="10" t="s">
        <v>195</v>
      </c>
      <c r="C8" s="11" t="n">
        <v>550000</v>
      </c>
      <c r="D8" s="11" t="n">
        <v>620000</v>
      </c>
      <c r="E8" s="45" t="n">
        <f aca="false">D8-C8</f>
        <v>70000</v>
      </c>
      <c r="F8" s="46" t="n">
        <f aca="false">IF(C8&lt;&gt;0,(D8-C8)/C8,0)</f>
        <v>0.127272727272727</v>
      </c>
      <c r="G8" s="48" t="s">
        <v>196</v>
      </c>
    </row>
    <row r="9" customFormat="false" ht="45" hidden="false" customHeight="true" outlineLevel="0" collapsed="false">
      <c r="A9" s="5" t="n">
        <v>5</v>
      </c>
      <c r="B9" s="6" t="s">
        <v>197</v>
      </c>
      <c r="C9" s="7" t="n">
        <v>8150000</v>
      </c>
      <c r="D9" s="7" t="n">
        <v>7380000</v>
      </c>
      <c r="E9" s="45" t="n">
        <f aca="false">D9-C9</f>
        <v>-770000</v>
      </c>
      <c r="F9" s="46" t="n">
        <f aca="false">IF(C9&lt;&gt;0,(D9-C9)/C9,0)</f>
        <v>-0.094478527607362</v>
      </c>
      <c r="G9" s="47" t="s">
        <v>198</v>
      </c>
    </row>
    <row r="10" customFormat="false" ht="45" hidden="false" customHeight="true" outlineLevel="0" collapsed="false">
      <c r="A10" s="9" t="n">
        <v>6</v>
      </c>
      <c r="B10" s="10" t="s">
        <v>98</v>
      </c>
      <c r="C10" s="11" t="n">
        <v>1300000</v>
      </c>
      <c r="D10" s="11" t="n">
        <v>1450000</v>
      </c>
      <c r="E10" s="45" t="n">
        <f aca="false">D10-C10</f>
        <v>150000</v>
      </c>
      <c r="F10" s="46" t="n">
        <f aca="false">IF(C10&lt;&gt;0,(D10-C10)/C10,0)</f>
        <v>0.115384615384615</v>
      </c>
      <c r="G10" s="48" t="s">
        <v>199</v>
      </c>
    </row>
    <row r="11" customFormat="false" ht="45" hidden="false" customHeight="true" outlineLevel="0" collapsed="false">
      <c r="A11" s="5" t="n">
        <v>7</v>
      </c>
      <c r="B11" s="6" t="s">
        <v>111</v>
      </c>
      <c r="C11" s="7" t="n">
        <v>80000</v>
      </c>
      <c r="D11" s="7" t="n">
        <v>120000</v>
      </c>
      <c r="E11" s="45" t="n">
        <f aca="false">D11-C11</f>
        <v>40000</v>
      </c>
      <c r="F11" s="46" t="n">
        <f aca="false">IF(C11&lt;&gt;0,(D11-C11)/C11,0)</f>
        <v>0.5</v>
      </c>
      <c r="G11" s="47" t="s">
        <v>200</v>
      </c>
    </row>
    <row r="12" customFormat="false" ht="45" hidden="false" customHeight="true" outlineLevel="0" collapsed="false">
      <c r="A12" s="9" t="n">
        <v>8</v>
      </c>
      <c r="B12" s="10" t="s">
        <v>114</v>
      </c>
      <c r="C12" s="11" t="n">
        <v>120000</v>
      </c>
      <c r="D12" s="11" t="n">
        <v>95000</v>
      </c>
      <c r="E12" s="45" t="n">
        <f aca="false">D12-C12</f>
        <v>-25000</v>
      </c>
      <c r="F12" s="46" t="n">
        <f aca="false">IF(C12&lt;&gt;0,(D12-C12)/C12,0)</f>
        <v>-0.208333333333333</v>
      </c>
      <c r="G12" s="48" t="s">
        <v>201</v>
      </c>
    </row>
    <row r="13" customFormat="false" ht="45" hidden="false" customHeight="true" outlineLevel="0" collapsed="false">
      <c r="A13" s="5" t="n">
        <v>9</v>
      </c>
      <c r="B13" s="6" t="s">
        <v>172</v>
      </c>
      <c r="C13" s="7" t="n">
        <v>6650000</v>
      </c>
      <c r="D13" s="7" t="n">
        <v>5715000</v>
      </c>
      <c r="E13" s="45" t="n">
        <f aca="false">D13-C13</f>
        <v>-935000</v>
      </c>
      <c r="F13" s="46" t="n">
        <f aca="false">IF(C13&lt;&gt;0,(D13-C13)/C13,0)</f>
        <v>-0.140601503759399</v>
      </c>
      <c r="G13" s="47" t="s">
        <v>202</v>
      </c>
    </row>
    <row r="14" customFormat="false" ht="45" hidden="false" customHeight="true" outlineLevel="0" collapsed="false">
      <c r="A14" s="9" t="n">
        <v>10</v>
      </c>
      <c r="B14" s="10" t="s">
        <v>131</v>
      </c>
      <c r="C14" s="11" t="n">
        <v>350000</v>
      </c>
      <c r="D14" s="11" t="n">
        <v>312000</v>
      </c>
      <c r="E14" s="45" t="n">
        <f aca="false">D14-C14</f>
        <v>-38000</v>
      </c>
      <c r="F14" s="46" t="n">
        <f aca="false">IF(C14&lt;&gt;0,(D14-C14)/C14,0)</f>
        <v>-0.108571428571429</v>
      </c>
      <c r="G14" s="48" t="s">
        <v>203</v>
      </c>
    </row>
    <row r="15" customFormat="false" ht="45" hidden="false" customHeight="true" outlineLevel="0" collapsed="false">
      <c r="A15" s="5" t="n">
        <v>11</v>
      </c>
      <c r="B15" s="6" t="s">
        <v>204</v>
      </c>
      <c r="C15" s="7" t="n">
        <v>1200000</v>
      </c>
      <c r="D15" s="7" t="n">
        <v>980000</v>
      </c>
      <c r="E15" s="45" t="n">
        <f aca="false">D15-C15</f>
        <v>-220000</v>
      </c>
      <c r="F15" s="46" t="n">
        <f aca="false">IF(C15&lt;&gt;0,(D15-C15)/C15,0)</f>
        <v>-0.183333333333333</v>
      </c>
      <c r="G15" s="47" t="s">
        <v>205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4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206</v>
      </c>
      <c r="B2" s="3"/>
      <c r="C2" s="3"/>
      <c r="D2" s="3"/>
      <c r="E2" s="3"/>
      <c r="F2" s="3"/>
    </row>
    <row r="4" customFormat="false" ht="25.5" hidden="false" customHeight="true" outlineLevel="0" collapsed="false">
      <c r="A4" s="4" t="s">
        <v>185</v>
      </c>
      <c r="B4" s="4" t="s">
        <v>207</v>
      </c>
      <c r="C4" s="4" t="s">
        <v>208</v>
      </c>
      <c r="D4" s="4" t="s">
        <v>209</v>
      </c>
      <c r="E4" s="4" t="s">
        <v>210</v>
      </c>
      <c r="F4" s="4" t="s">
        <v>211</v>
      </c>
    </row>
    <row r="5" customFormat="false" ht="31.5" hidden="false" customHeight="true" outlineLevel="0" collapsed="false">
      <c r="A5" s="5" t="n">
        <v>1</v>
      </c>
      <c r="B5" s="6" t="s">
        <v>212</v>
      </c>
      <c r="C5" s="5" t="s">
        <v>213</v>
      </c>
      <c r="D5" s="5" t="s">
        <v>214</v>
      </c>
      <c r="E5" s="49" t="s">
        <v>215</v>
      </c>
      <c r="F5" s="47" t="s">
        <v>216</v>
      </c>
    </row>
    <row r="6" customFormat="false" ht="31.5" hidden="false" customHeight="true" outlineLevel="0" collapsed="false">
      <c r="A6" s="9" t="n">
        <v>2</v>
      </c>
      <c r="B6" s="10" t="s">
        <v>217</v>
      </c>
      <c r="C6" s="9" t="s">
        <v>213</v>
      </c>
      <c r="D6" s="9" t="s">
        <v>218</v>
      </c>
      <c r="E6" s="49" t="s">
        <v>215</v>
      </c>
      <c r="F6" s="48" t="s">
        <v>219</v>
      </c>
    </row>
    <row r="7" customFormat="false" ht="31.5" hidden="false" customHeight="true" outlineLevel="0" collapsed="false">
      <c r="A7" s="5" t="n">
        <v>3</v>
      </c>
      <c r="B7" s="6" t="s">
        <v>220</v>
      </c>
      <c r="C7" s="5" t="s">
        <v>213</v>
      </c>
      <c r="D7" s="5" t="s">
        <v>221</v>
      </c>
      <c r="E7" s="49" t="s">
        <v>215</v>
      </c>
      <c r="F7" s="47" t="s">
        <v>222</v>
      </c>
    </row>
    <row r="8" customFormat="false" ht="31.5" hidden="false" customHeight="true" outlineLevel="0" collapsed="false">
      <c r="A8" s="9" t="n">
        <v>4</v>
      </c>
      <c r="B8" s="10" t="s">
        <v>223</v>
      </c>
      <c r="C8" s="9" t="s">
        <v>213</v>
      </c>
      <c r="D8" s="9" t="s">
        <v>221</v>
      </c>
      <c r="E8" s="49" t="s">
        <v>215</v>
      </c>
      <c r="F8" s="48" t="s">
        <v>224</v>
      </c>
    </row>
    <row r="9" customFormat="false" ht="31.5" hidden="false" customHeight="true" outlineLevel="0" collapsed="false">
      <c r="A9" s="5" t="n">
        <v>5</v>
      </c>
      <c r="B9" s="6" t="s">
        <v>225</v>
      </c>
      <c r="C9" s="5" t="s">
        <v>226</v>
      </c>
      <c r="D9" s="5" t="s">
        <v>221</v>
      </c>
      <c r="E9" s="49" t="s">
        <v>215</v>
      </c>
      <c r="F9" s="47" t="s">
        <v>227</v>
      </c>
    </row>
    <row r="10" customFormat="false" ht="31.5" hidden="false" customHeight="true" outlineLevel="0" collapsed="false">
      <c r="A10" s="9" t="n">
        <v>6</v>
      </c>
      <c r="B10" s="10" t="s">
        <v>228</v>
      </c>
      <c r="C10" s="9" t="s">
        <v>226</v>
      </c>
      <c r="D10" s="9" t="s">
        <v>221</v>
      </c>
      <c r="E10" s="49" t="s">
        <v>215</v>
      </c>
      <c r="F10" s="48" t="s">
        <v>229</v>
      </c>
    </row>
    <row r="11" customFormat="false" ht="31.5" hidden="false" customHeight="true" outlineLevel="0" collapsed="false">
      <c r="A11" s="5" t="n">
        <v>7</v>
      </c>
      <c r="B11" s="6" t="s">
        <v>230</v>
      </c>
      <c r="C11" s="5" t="s">
        <v>231</v>
      </c>
      <c r="D11" s="5" t="s">
        <v>218</v>
      </c>
      <c r="E11" s="49" t="s">
        <v>215</v>
      </c>
      <c r="F11" s="47" t="s">
        <v>232</v>
      </c>
    </row>
    <row r="12" customFormat="false" ht="31.5" hidden="false" customHeight="true" outlineLevel="0" collapsed="false">
      <c r="A12" s="9" t="n">
        <v>8</v>
      </c>
      <c r="B12" s="10" t="s">
        <v>233</v>
      </c>
      <c r="C12" s="9" t="s">
        <v>234</v>
      </c>
      <c r="D12" s="9" t="s">
        <v>221</v>
      </c>
      <c r="E12" s="49" t="s">
        <v>215</v>
      </c>
      <c r="F12" s="48" t="s">
        <v>235</v>
      </c>
    </row>
    <row r="13" customFormat="false" ht="31.5" hidden="false" customHeight="true" outlineLevel="0" collapsed="false">
      <c r="A13" s="5" t="n">
        <v>9</v>
      </c>
      <c r="B13" s="6" t="s">
        <v>236</v>
      </c>
      <c r="C13" s="5" t="s">
        <v>234</v>
      </c>
      <c r="D13" s="5" t="s">
        <v>221</v>
      </c>
      <c r="E13" s="49" t="s">
        <v>215</v>
      </c>
      <c r="F13" s="47" t="s">
        <v>237</v>
      </c>
    </row>
    <row r="14" customFormat="false" ht="31.5" hidden="false" customHeight="true" outlineLevel="0" collapsed="false">
      <c r="A14" s="9" t="n">
        <v>10</v>
      </c>
      <c r="B14" s="10" t="s">
        <v>238</v>
      </c>
      <c r="C14" s="9" t="s">
        <v>234</v>
      </c>
      <c r="D14" s="9" t="s">
        <v>221</v>
      </c>
      <c r="E14" s="49" t="s">
        <v>215</v>
      </c>
      <c r="F14" s="48" t="s">
        <v>239</v>
      </c>
    </row>
    <row r="15" customFormat="false" ht="31.5" hidden="false" customHeight="true" outlineLevel="0" collapsed="false">
      <c r="A15" s="5" t="n">
        <v>11</v>
      </c>
      <c r="B15" s="6" t="s">
        <v>240</v>
      </c>
      <c r="C15" s="5" t="s">
        <v>241</v>
      </c>
      <c r="D15" s="5" t="s">
        <v>221</v>
      </c>
      <c r="E15" s="49" t="s">
        <v>215</v>
      </c>
      <c r="F15" s="47" t="s">
        <v>242</v>
      </c>
    </row>
    <row r="16" customFormat="false" ht="31.5" hidden="false" customHeight="true" outlineLevel="0" collapsed="false">
      <c r="A16" s="9" t="n">
        <v>12</v>
      </c>
      <c r="B16" s="10" t="s">
        <v>243</v>
      </c>
      <c r="C16" s="9" t="s">
        <v>213</v>
      </c>
      <c r="D16" s="9" t="s">
        <v>221</v>
      </c>
      <c r="E16" s="50" t="s">
        <v>244</v>
      </c>
      <c r="F16" s="48" t="s">
        <v>245</v>
      </c>
    </row>
    <row r="17" customFormat="false" ht="31.5" hidden="false" customHeight="true" outlineLevel="0" collapsed="false">
      <c r="A17" s="5" t="n">
        <v>13</v>
      </c>
      <c r="B17" s="6" t="s">
        <v>246</v>
      </c>
      <c r="C17" s="5" t="s">
        <v>241</v>
      </c>
      <c r="D17" s="5" t="s">
        <v>247</v>
      </c>
      <c r="E17" s="49" t="s">
        <v>215</v>
      </c>
      <c r="F17" s="47" t="s">
        <v>248</v>
      </c>
    </row>
    <row r="18" customFormat="false" ht="31.5" hidden="false" customHeight="true" outlineLevel="0" collapsed="false">
      <c r="A18" s="9" t="n">
        <v>14</v>
      </c>
      <c r="B18" s="10" t="s">
        <v>249</v>
      </c>
      <c r="C18" s="9" t="s">
        <v>250</v>
      </c>
      <c r="D18" s="9" t="s">
        <v>221</v>
      </c>
      <c r="E18" s="49" t="s">
        <v>215</v>
      </c>
      <c r="F18" s="48" t="s">
        <v>251</v>
      </c>
    </row>
    <row r="19" customFormat="false" ht="31.5" hidden="false" customHeight="true" outlineLevel="0" collapsed="false">
      <c r="A19" s="5" t="n">
        <v>15</v>
      </c>
      <c r="B19" s="6" t="s">
        <v>252</v>
      </c>
      <c r="C19" s="5" t="s">
        <v>253</v>
      </c>
      <c r="D19" s="5" t="s">
        <v>221</v>
      </c>
      <c r="E19" s="49" t="s">
        <v>215</v>
      </c>
      <c r="F19" s="47" t="s">
        <v>254</v>
      </c>
    </row>
    <row r="20" customFormat="false" ht="31.5" hidden="false" customHeight="true" outlineLevel="0" collapsed="false">
      <c r="A20" s="9" t="n">
        <v>16</v>
      </c>
      <c r="B20" s="10" t="s">
        <v>255</v>
      </c>
      <c r="C20" s="9" t="s">
        <v>213</v>
      </c>
      <c r="D20" s="9" t="s">
        <v>218</v>
      </c>
      <c r="E20" s="49" t="s">
        <v>215</v>
      </c>
      <c r="F20" s="48" t="s">
        <v>256</v>
      </c>
    </row>
    <row r="21" customFormat="false" ht="31.5" hidden="false" customHeight="true" outlineLevel="0" collapsed="false">
      <c r="A21" s="5" t="n">
        <v>17</v>
      </c>
      <c r="B21" s="6" t="s">
        <v>257</v>
      </c>
      <c r="C21" s="5" t="s">
        <v>258</v>
      </c>
      <c r="D21" s="5" t="s">
        <v>221</v>
      </c>
      <c r="E21" s="49" t="s">
        <v>215</v>
      </c>
      <c r="F21" s="47" t="s">
        <v>259</v>
      </c>
    </row>
    <row r="22" customFormat="false" ht="31.5" hidden="false" customHeight="true" outlineLevel="0" collapsed="false">
      <c r="A22" s="9" t="n">
        <v>18</v>
      </c>
      <c r="B22" s="10" t="s">
        <v>260</v>
      </c>
      <c r="C22" s="9" t="s">
        <v>241</v>
      </c>
      <c r="D22" s="9" t="s">
        <v>221</v>
      </c>
      <c r="E22" s="49" t="s">
        <v>215</v>
      </c>
      <c r="F22" s="48" t="s">
        <v>261</v>
      </c>
    </row>
    <row r="23" customFormat="false" ht="31.5" hidden="false" customHeight="true" outlineLevel="0" collapsed="false">
      <c r="A23" s="5" t="n">
        <v>19</v>
      </c>
      <c r="B23" s="6" t="s">
        <v>262</v>
      </c>
      <c r="C23" s="5" t="s">
        <v>213</v>
      </c>
      <c r="D23" s="5" t="s">
        <v>263</v>
      </c>
      <c r="E23" s="49" t="s">
        <v>215</v>
      </c>
      <c r="F23" s="47" t="s">
        <v>264</v>
      </c>
    </row>
    <row r="24" customFormat="false" ht="31.5" hidden="false" customHeight="true" outlineLevel="0" collapsed="false">
      <c r="A24" s="9" t="n">
        <v>20</v>
      </c>
      <c r="B24" s="10" t="s">
        <v>265</v>
      </c>
      <c r="C24" s="9" t="s">
        <v>266</v>
      </c>
      <c r="D24" s="9" t="s">
        <v>267</v>
      </c>
      <c r="E24" s="49" t="s">
        <v>215</v>
      </c>
      <c r="F24" s="48" t="s">
        <v>268</v>
      </c>
    </row>
    <row r="25" customFormat="false" ht="31.5" hidden="false" customHeight="true" outlineLevel="0" collapsed="false">
      <c r="A25" s="5" t="n">
        <v>21</v>
      </c>
      <c r="B25" s="6" t="s">
        <v>269</v>
      </c>
      <c r="C25" s="5" t="s">
        <v>241</v>
      </c>
      <c r="D25" s="5" t="s">
        <v>267</v>
      </c>
      <c r="E25" s="49" t="s">
        <v>215</v>
      </c>
      <c r="F25" s="47" t="s">
        <v>270</v>
      </c>
    </row>
    <row r="26" customFormat="false" ht="31.5" hidden="false" customHeight="true" outlineLevel="0" collapsed="false">
      <c r="A26" s="9" t="n">
        <v>22</v>
      </c>
      <c r="B26" s="10" t="s">
        <v>271</v>
      </c>
      <c r="C26" s="9" t="s">
        <v>213</v>
      </c>
      <c r="D26" s="9" t="s">
        <v>272</v>
      </c>
      <c r="E26" s="49" t="s">
        <v>215</v>
      </c>
      <c r="F26" s="48" t="s">
        <v>273</v>
      </c>
    </row>
    <row r="27" customFormat="false" ht="31.5" hidden="false" customHeight="true" outlineLevel="0" collapsed="false">
      <c r="A27" s="5" t="n">
        <v>23</v>
      </c>
      <c r="B27" s="6" t="s">
        <v>274</v>
      </c>
      <c r="C27" s="5" t="s">
        <v>241</v>
      </c>
      <c r="D27" s="5" t="s">
        <v>272</v>
      </c>
      <c r="E27" s="49" t="s">
        <v>215</v>
      </c>
      <c r="F27" s="47" t="s">
        <v>275</v>
      </c>
    </row>
    <row r="29" customFormat="false" ht="15" hidden="false" customHeight="true" outlineLevel="0" collapsed="false">
      <c r="A29" s="51" t="s">
        <v>276</v>
      </c>
      <c r="B29" s="51"/>
    </row>
  </sheetData>
  <mergeCells count="3">
    <mergeCell ref="A1:F1"/>
    <mergeCell ref="A2:F2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6"/>
    <col collapsed="false" customWidth="true" hidden="false" outlineLevel="0" max="3" min="3" style="1" width="20"/>
    <col collapsed="false" customWidth="true" hidden="false" outlineLevel="0" max="5" min="4" style="1" width="14"/>
  </cols>
  <sheetData>
    <row r="1" customFormat="false" ht="39.75" hidden="false" customHeight="true" outlineLevel="0" collapsed="false">
      <c r="A1" s="52" t="s">
        <v>277</v>
      </c>
      <c r="B1" s="52"/>
      <c r="C1" s="52"/>
      <c r="D1" s="52"/>
      <c r="E1" s="52"/>
    </row>
    <row r="2" customFormat="false" ht="18" hidden="false" customHeight="true" outlineLevel="0" collapsed="false">
      <c r="A2" s="53" t="s">
        <v>278</v>
      </c>
      <c r="B2" s="53"/>
      <c r="C2" s="53"/>
      <c r="D2" s="53"/>
      <c r="E2" s="53"/>
    </row>
    <row r="4" customFormat="false" ht="21.75" hidden="false" customHeight="true" outlineLevel="0" collapsed="false">
      <c r="A4" s="54" t="s">
        <v>279</v>
      </c>
      <c r="B4" s="54"/>
      <c r="C4" s="54"/>
      <c r="D4" s="54"/>
      <c r="E4" s="54"/>
    </row>
    <row r="5" customFormat="false" ht="21.75" hidden="false" customHeight="true" outlineLevel="0" collapsed="false">
      <c r="A5" s="55" t="s">
        <v>280</v>
      </c>
      <c r="B5" s="55" t="s">
        <v>281</v>
      </c>
      <c r="C5" s="55" t="s">
        <v>282</v>
      </c>
      <c r="D5" s="55" t="s">
        <v>283</v>
      </c>
      <c r="E5" s="55" t="s">
        <v>210</v>
      </c>
    </row>
    <row r="6" customFormat="false" ht="19.5" hidden="false" customHeight="true" outlineLevel="0" collapsed="false">
      <c r="A6" s="56" t="s">
        <v>284</v>
      </c>
      <c r="B6" s="5" t="s">
        <v>285</v>
      </c>
      <c r="C6" s="5" t="s">
        <v>286</v>
      </c>
      <c r="D6" s="5" t="s">
        <v>287</v>
      </c>
      <c r="E6" s="57" t="s">
        <v>288</v>
      </c>
    </row>
    <row r="7" customFormat="false" ht="19.5" hidden="false" customHeight="true" outlineLevel="0" collapsed="false">
      <c r="A7" s="58" t="s">
        <v>289</v>
      </c>
      <c r="B7" s="9" t="s">
        <v>290</v>
      </c>
      <c r="C7" s="9" t="s">
        <v>291</v>
      </c>
      <c r="D7" s="9" t="s">
        <v>292</v>
      </c>
      <c r="E7" s="59" t="s">
        <v>293</v>
      </c>
    </row>
    <row r="8" customFormat="false" ht="19.5" hidden="false" customHeight="true" outlineLevel="0" collapsed="false">
      <c r="A8" s="56" t="s">
        <v>294</v>
      </c>
      <c r="B8" s="5" t="s">
        <v>295</v>
      </c>
      <c r="C8" s="5" t="s">
        <v>296</v>
      </c>
      <c r="D8" s="5" t="s">
        <v>297</v>
      </c>
      <c r="E8" s="59" t="s">
        <v>293</v>
      </c>
    </row>
    <row r="9" customFormat="false" ht="19.5" hidden="false" customHeight="true" outlineLevel="0" collapsed="false">
      <c r="A9" s="58" t="s">
        <v>298</v>
      </c>
      <c r="B9" s="9" t="s">
        <v>299</v>
      </c>
      <c r="C9" s="9" t="s">
        <v>300</v>
      </c>
      <c r="D9" s="9" t="s">
        <v>301</v>
      </c>
      <c r="E9" s="59" t="s">
        <v>293</v>
      </c>
    </row>
    <row r="10" customFormat="false" ht="19.5" hidden="false" customHeight="true" outlineLevel="0" collapsed="false">
      <c r="A10" s="56" t="s">
        <v>302</v>
      </c>
      <c r="B10" s="5" t="s">
        <v>303</v>
      </c>
      <c r="C10" s="5" t="s">
        <v>304</v>
      </c>
      <c r="D10" s="5" t="s">
        <v>305</v>
      </c>
      <c r="E10" s="57" t="s">
        <v>306</v>
      </c>
    </row>
    <row r="11" customFormat="false" ht="19.5" hidden="false" customHeight="true" outlineLevel="0" collapsed="false">
      <c r="A11" s="58" t="s">
        <v>307</v>
      </c>
      <c r="B11" s="9" t="s">
        <v>308</v>
      </c>
      <c r="C11" s="9" t="s">
        <v>309</v>
      </c>
      <c r="D11" s="9" t="s">
        <v>310</v>
      </c>
      <c r="E11" s="59" t="s">
        <v>311</v>
      </c>
    </row>
    <row r="12" customFormat="false" ht="19.5" hidden="false" customHeight="true" outlineLevel="0" collapsed="false">
      <c r="A12" s="56" t="s">
        <v>312</v>
      </c>
      <c r="B12" s="5" t="s">
        <v>313</v>
      </c>
      <c r="C12" s="5" t="s">
        <v>314</v>
      </c>
      <c r="D12" s="5" t="s">
        <v>315</v>
      </c>
      <c r="E12" s="60" t="s">
        <v>316</v>
      </c>
    </row>
    <row r="15" customFormat="false" ht="21.75" hidden="false" customHeight="true" outlineLevel="0" collapsed="false">
      <c r="A15" s="54" t="s">
        <v>317</v>
      </c>
      <c r="B15" s="54"/>
      <c r="C15" s="54"/>
      <c r="D15" s="54"/>
      <c r="E15" s="54"/>
    </row>
    <row r="16" customFormat="false" ht="21.75" hidden="false" customHeight="true" outlineLevel="0" collapsed="false">
      <c r="A16" s="61" t="s">
        <v>318</v>
      </c>
      <c r="B16" s="61"/>
      <c r="C16" s="61"/>
      <c r="D16" s="61"/>
      <c r="E16" s="61"/>
    </row>
    <row r="17" customFormat="false" ht="75" hidden="false" customHeight="true" outlineLevel="0" collapsed="false">
      <c r="A17" s="62" t="s">
        <v>319</v>
      </c>
      <c r="B17" s="62"/>
      <c r="C17" s="62"/>
      <c r="D17" s="62"/>
      <c r="E17" s="62"/>
    </row>
    <row r="18" customFormat="false" ht="21.75" hidden="false" customHeight="true" outlineLevel="0" collapsed="false">
      <c r="A18" s="61" t="s">
        <v>320</v>
      </c>
      <c r="B18" s="61"/>
      <c r="C18" s="61"/>
      <c r="D18" s="61"/>
      <c r="E18" s="61"/>
    </row>
    <row r="19" customFormat="false" ht="75" hidden="false" customHeight="true" outlineLevel="0" collapsed="false">
      <c r="A19" s="63" t="s">
        <v>321</v>
      </c>
      <c r="B19" s="63"/>
      <c r="C19" s="63"/>
      <c r="D19" s="63"/>
      <c r="E19" s="63"/>
    </row>
    <row r="20" customFormat="false" ht="21.75" hidden="false" customHeight="true" outlineLevel="0" collapsed="false">
      <c r="A20" s="61" t="s">
        <v>322</v>
      </c>
      <c r="B20" s="61"/>
      <c r="C20" s="61"/>
      <c r="D20" s="61"/>
      <c r="E20" s="61"/>
    </row>
    <row r="21" customFormat="false" ht="75" hidden="false" customHeight="true" outlineLevel="0" collapsed="false">
      <c r="A21" s="63" t="s">
        <v>323</v>
      </c>
      <c r="B21" s="63"/>
      <c r="C21" s="63"/>
      <c r="D21" s="63"/>
      <c r="E21" s="63"/>
    </row>
    <row r="23" customFormat="false" ht="21.75" hidden="false" customHeight="true" outlineLevel="0" collapsed="false">
      <c r="A23" s="54" t="s">
        <v>324</v>
      </c>
      <c r="B23" s="54"/>
      <c r="C23" s="54"/>
      <c r="D23" s="54"/>
      <c r="E23" s="54"/>
    </row>
    <row r="24" customFormat="false" ht="21.75" hidden="false" customHeight="true" outlineLevel="0" collapsed="false">
      <c r="A24" s="55" t="s">
        <v>185</v>
      </c>
      <c r="B24" s="55" t="s">
        <v>325</v>
      </c>
      <c r="C24" s="55" t="s">
        <v>208</v>
      </c>
      <c r="D24" s="55" t="s">
        <v>326</v>
      </c>
    </row>
    <row r="25" customFormat="false" ht="25.5" hidden="false" customHeight="true" outlineLevel="0" collapsed="false">
      <c r="A25" s="5" t="s">
        <v>327</v>
      </c>
      <c r="B25" s="6" t="s">
        <v>328</v>
      </c>
      <c r="C25" s="5" t="s">
        <v>213</v>
      </c>
      <c r="D25" s="5" t="s">
        <v>329</v>
      </c>
    </row>
    <row r="26" customFormat="false" ht="25.5" hidden="false" customHeight="true" outlineLevel="0" collapsed="false">
      <c r="A26" s="9" t="s">
        <v>330</v>
      </c>
      <c r="B26" s="10" t="s">
        <v>331</v>
      </c>
      <c r="C26" s="9" t="s">
        <v>332</v>
      </c>
      <c r="D26" s="9" t="s">
        <v>333</v>
      </c>
    </row>
    <row r="27" customFormat="false" ht="25.5" hidden="false" customHeight="true" outlineLevel="0" collapsed="false">
      <c r="A27" s="5" t="s">
        <v>334</v>
      </c>
      <c r="B27" s="6" t="s">
        <v>335</v>
      </c>
      <c r="C27" s="5" t="s">
        <v>266</v>
      </c>
      <c r="D27" s="5" t="s">
        <v>336</v>
      </c>
    </row>
    <row r="28" customFormat="false" ht="25.5" hidden="false" customHeight="true" outlineLevel="0" collapsed="false">
      <c r="A28" s="9" t="s">
        <v>337</v>
      </c>
      <c r="B28" s="10" t="s">
        <v>338</v>
      </c>
      <c r="C28" s="9" t="s">
        <v>339</v>
      </c>
      <c r="D28" s="9" t="s">
        <v>340</v>
      </c>
    </row>
    <row r="29" customFormat="false" ht="25.5" hidden="false" customHeight="true" outlineLevel="0" collapsed="false">
      <c r="A29" s="5" t="s">
        <v>341</v>
      </c>
      <c r="B29" s="6" t="s">
        <v>342</v>
      </c>
      <c r="C29" s="5" t="s">
        <v>234</v>
      </c>
      <c r="D29" s="5" t="s">
        <v>343</v>
      </c>
    </row>
  </sheetData>
  <mergeCells count="11">
    <mergeCell ref="A1:E1"/>
    <mergeCell ref="A2:E2"/>
    <mergeCell ref="A4:E4"/>
    <mergeCell ref="A15:E15"/>
    <mergeCell ref="A16:E16"/>
    <mergeCell ref="A17:E17"/>
    <mergeCell ref="A18:E18"/>
    <mergeCell ref="A19:E19"/>
    <mergeCell ref="A20:E20"/>
    <mergeCell ref="A21:E21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" min="2" style="1" width="16"/>
  </cols>
  <sheetData>
    <row r="1" customFormat="false" ht="30" hidden="false" customHeight="true" outlineLevel="0" collapsed="false">
      <c r="A1" s="52" t="s">
        <v>344</v>
      </c>
      <c r="B1" s="52"/>
      <c r="C1" s="52"/>
      <c r="D1" s="52"/>
      <c r="E1" s="52"/>
      <c r="F1" s="52"/>
      <c r="G1" s="52"/>
      <c r="H1" s="52"/>
    </row>
    <row r="3" customFormat="false" ht="25.5" hidden="false" customHeight="true" outlineLevel="0" collapsed="false">
      <c r="A3" s="4" t="s">
        <v>345</v>
      </c>
      <c r="B3" s="4" t="s">
        <v>346</v>
      </c>
      <c r="C3" s="4" t="s">
        <v>347</v>
      </c>
      <c r="D3" s="4" t="s">
        <v>348</v>
      </c>
      <c r="E3" s="4" t="s">
        <v>349</v>
      </c>
      <c r="F3" s="4" t="s">
        <v>350</v>
      </c>
      <c r="G3" s="4" t="s">
        <v>351</v>
      </c>
      <c r="H3" s="4" t="s">
        <v>352</v>
      </c>
    </row>
    <row r="4" customFormat="false" ht="19.5" hidden="false" customHeight="true" outlineLevel="0" collapsed="false">
      <c r="A4" s="56" t="s">
        <v>353</v>
      </c>
      <c r="B4" s="7" t="n">
        <v>11200000</v>
      </c>
      <c r="C4" s="7" t="n">
        <v>12500000</v>
      </c>
      <c r="D4" s="7" t="n">
        <v>14800000</v>
      </c>
      <c r="E4" s="7" t="n">
        <v>12100000</v>
      </c>
      <c r="F4" s="7" t="n">
        <v>13800000</v>
      </c>
      <c r="G4" s="7" t="n">
        <v>13150000</v>
      </c>
      <c r="H4" s="64" t="s">
        <v>354</v>
      </c>
    </row>
    <row r="5" customFormat="false" ht="19.5" hidden="false" customHeight="true" outlineLevel="0" collapsed="false">
      <c r="A5" s="58" t="s">
        <v>355</v>
      </c>
      <c r="B5" s="11" t="n">
        <v>6720000</v>
      </c>
      <c r="C5" s="11" t="n">
        <v>7625000</v>
      </c>
      <c r="D5" s="11" t="n">
        <v>9104000</v>
      </c>
      <c r="E5" s="11" t="n">
        <v>7381000</v>
      </c>
      <c r="F5" s="11" t="n">
        <v>8418000</v>
      </c>
      <c r="G5" s="11" t="n">
        <v>7380000</v>
      </c>
      <c r="H5" s="65" t="s">
        <v>356</v>
      </c>
    </row>
    <row r="6" customFormat="false" ht="19.5" hidden="false" customHeight="true" outlineLevel="0" collapsed="false">
      <c r="A6" s="56" t="s">
        <v>161</v>
      </c>
      <c r="B6" s="66" t="n">
        <v>0.6</v>
      </c>
      <c r="C6" s="66" t="n">
        <v>0.61</v>
      </c>
      <c r="D6" s="66" t="n">
        <v>0.615</v>
      </c>
      <c r="E6" s="66" t="n">
        <v>0.61</v>
      </c>
      <c r="F6" s="66" t="n">
        <v>0.61</v>
      </c>
      <c r="G6" s="66" t="n">
        <v>0.561</v>
      </c>
      <c r="H6" s="64" t="s">
        <v>357</v>
      </c>
    </row>
    <row r="7" customFormat="false" ht="19.5" hidden="false" customHeight="true" outlineLevel="0" collapsed="false">
      <c r="A7" s="58" t="s">
        <v>358</v>
      </c>
      <c r="B7" s="11" t="n">
        <v>5040000</v>
      </c>
      <c r="C7" s="11" t="n">
        <v>5875000</v>
      </c>
      <c r="D7" s="11" t="n">
        <v>7104000</v>
      </c>
      <c r="E7" s="11" t="n">
        <v>5445000</v>
      </c>
      <c r="F7" s="11" t="n">
        <v>6624000</v>
      </c>
      <c r="G7" s="11" t="n">
        <v>5715000</v>
      </c>
      <c r="H7" s="65" t="s">
        <v>359</v>
      </c>
    </row>
    <row r="8" customFormat="false" ht="19.5" hidden="false" customHeight="true" outlineLevel="0" collapsed="false">
      <c r="A8" s="56" t="s">
        <v>173</v>
      </c>
      <c r="B8" s="66" t="n">
        <v>0.45</v>
      </c>
      <c r="C8" s="66" t="n">
        <v>0.47</v>
      </c>
      <c r="D8" s="66" t="n">
        <v>0.48</v>
      </c>
      <c r="E8" s="66" t="n">
        <v>0.45</v>
      </c>
      <c r="F8" s="66" t="n">
        <v>0.48</v>
      </c>
      <c r="G8" s="66" t="n">
        <v>0.435</v>
      </c>
      <c r="H8" s="64" t="s">
        <v>360</v>
      </c>
    </row>
    <row r="9" customFormat="false" ht="19.5" hidden="false" customHeight="true" outlineLevel="0" collapsed="false">
      <c r="A9" s="58" t="s">
        <v>298</v>
      </c>
      <c r="B9" s="11" t="n">
        <v>1050000</v>
      </c>
      <c r="C9" s="11" t="n">
        <v>1200000</v>
      </c>
      <c r="D9" s="11" t="n">
        <v>1750000</v>
      </c>
      <c r="E9" s="11" t="n">
        <v>1100000</v>
      </c>
      <c r="F9" s="11" t="n">
        <v>1380000</v>
      </c>
      <c r="G9" s="11" t="n">
        <v>980000</v>
      </c>
      <c r="H9" s="65" t="s">
        <v>361</v>
      </c>
    </row>
    <row r="10" customFormat="false" ht="19.5" hidden="false" customHeight="true" outlineLevel="0" collapsed="false">
      <c r="A10" s="56" t="s">
        <v>182</v>
      </c>
      <c r="B10" s="66" t="n">
        <v>0.094</v>
      </c>
      <c r="C10" s="66" t="n">
        <v>0.096</v>
      </c>
      <c r="D10" s="66" t="n">
        <v>0.118</v>
      </c>
      <c r="E10" s="66" t="n">
        <v>0.091</v>
      </c>
      <c r="F10" s="66" t="n">
        <v>0.1</v>
      </c>
      <c r="G10" s="66" t="n">
        <v>0.075</v>
      </c>
      <c r="H10" s="64" t="s">
        <v>362</v>
      </c>
    </row>
    <row r="11" customFormat="false" ht="19.5" hidden="false" customHeight="true" outlineLevel="0" collapsed="false">
      <c r="A11" s="58" t="s">
        <v>363</v>
      </c>
      <c r="B11" s="11" t="n">
        <v>28</v>
      </c>
      <c r="C11" s="11" t="n">
        <v>29</v>
      </c>
      <c r="D11" s="11" t="n">
        <v>30</v>
      </c>
      <c r="E11" s="11" t="n">
        <v>30</v>
      </c>
      <c r="F11" s="11" t="n">
        <v>31</v>
      </c>
      <c r="G11" s="11" t="n">
        <v>32</v>
      </c>
      <c r="H11" s="67" t="s">
        <v>364</v>
      </c>
    </row>
    <row r="12" customFormat="false" ht="19.5" hidden="false" customHeight="true" outlineLevel="0" collapsed="false">
      <c r="A12" s="56" t="s">
        <v>365</v>
      </c>
      <c r="B12" s="7" t="n">
        <v>400000</v>
      </c>
      <c r="C12" s="7" t="n">
        <v>431034</v>
      </c>
      <c r="D12" s="7" t="n">
        <v>493333</v>
      </c>
      <c r="E12" s="7" t="n">
        <v>403333</v>
      </c>
      <c r="F12" s="7" t="n">
        <v>445161</v>
      </c>
      <c r="G12" s="7" t="n">
        <v>410938</v>
      </c>
      <c r="H12" s="64" t="s">
        <v>366</v>
      </c>
    </row>
    <row r="13" customFormat="false" ht="19.5" hidden="false" customHeight="true" outlineLevel="0" collapsed="false">
      <c r="A13" s="58" t="s">
        <v>367</v>
      </c>
      <c r="B13" s="11" t="n">
        <v>42</v>
      </c>
      <c r="C13" s="11" t="n">
        <v>44</v>
      </c>
      <c r="D13" s="11" t="n">
        <v>40</v>
      </c>
      <c r="E13" s="11" t="n">
        <v>47</v>
      </c>
      <c r="F13" s="11" t="n">
        <v>45</v>
      </c>
      <c r="G13" s="11" t="n">
        <v>51</v>
      </c>
      <c r="H13" s="67" t="s">
        <v>368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2026-05-09T21:23:56Z</dcterms:created>
  <dc:creator>openpyxl</dc:creator>
  <dc:description/>
  <dc:language>en-US</dc:language>
  <cp:lastModifiedBy/>
  <dcterms:modified xsi:type="dcterms:W3CDTF">2026-05-09T21:24:17Z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